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DATA BU YOSI\"/>
    </mc:Choice>
  </mc:AlternateContent>
  <xr:revisionPtr revIDLastSave="0" documentId="13_ncr:1_{20F14E4D-9A82-4EC1-A96C-DDC0EAD0197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Area" localSheetId="0">Sheet1!$A$1:$BD$353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Z146" i="1" l="1"/>
  <c r="AZ110" i="1"/>
  <c r="AZ111" i="1"/>
  <c r="AK125" i="1"/>
  <c r="AZ118" i="1" l="1"/>
  <c r="AZ258" i="1"/>
  <c r="AZ257" i="1"/>
  <c r="AZ256" i="1"/>
  <c r="AZ255" i="1"/>
  <c r="AL268" i="1"/>
  <c r="AK324" i="1"/>
  <c r="AZ311" i="1"/>
  <c r="AZ317" i="1" s="1"/>
  <c r="AZ48" i="1"/>
  <c r="AK62" i="1"/>
  <c r="AZ47" i="1"/>
  <c r="AK188" i="1"/>
  <c r="AZ173" i="1"/>
  <c r="AK93" i="1"/>
  <c r="AZ80" i="1"/>
  <c r="AZ86" i="1" s="1"/>
  <c r="AZ338" i="1"/>
  <c r="AZ281" i="1"/>
  <c r="AZ55" i="1" l="1"/>
  <c r="AZ181" i="1"/>
  <c r="AK295" i="1"/>
  <c r="AZ282" i="1"/>
  <c r="AZ283" i="1"/>
  <c r="AZ254" i="1"/>
  <c r="AZ141" i="1"/>
  <c r="AZ202" i="1"/>
  <c r="AZ11" i="1"/>
  <c r="AZ12" i="1"/>
  <c r="AZ10" i="1"/>
  <c r="AZ139" i="1"/>
  <c r="AZ138" i="1"/>
  <c r="AZ228" i="1" l="1"/>
  <c r="AK216" i="1"/>
  <c r="AZ253" i="1"/>
  <c r="AZ261" i="1" s="1"/>
  <c r="AZ227" i="1" l="1"/>
  <c r="AZ201" i="1" l="1"/>
  <c r="AK242" i="1" l="1"/>
  <c r="AK153" i="1" l="1"/>
  <c r="AK352" i="1" l="1"/>
  <c r="AZ345" i="1" l="1"/>
  <c r="AZ235" i="1" l="1"/>
  <c r="AZ209" i="1" l="1"/>
  <c r="AZ17" i="1" l="1"/>
</calcChain>
</file>

<file path=xl/sharedStrings.xml><?xml version="1.0" encoding="utf-8"?>
<sst xmlns="http://schemas.openxmlformats.org/spreadsheetml/2006/main" count="623" uniqueCount="117">
  <si>
    <t>PT. KERTAS PADALARANG</t>
  </si>
  <si>
    <t>PERHITUNGAN BIAYA PERJALANAN DINAS</t>
  </si>
  <si>
    <t>Surat Perintah Dinas No.</t>
  </si>
  <si>
    <t>:</t>
  </si>
  <si>
    <t>Berangkat Tanggal</t>
  </si>
  <si>
    <t>Tanggal</t>
  </si>
  <si>
    <t>Kembali Tanggal</t>
  </si>
  <si>
    <t>Tujuan</t>
  </si>
  <si>
    <t xml:space="preserve"> </t>
  </si>
  <si>
    <t>NO</t>
  </si>
  <si>
    <t>NAMA</t>
  </si>
  <si>
    <t xml:space="preserve">NO.REG  </t>
  </si>
  <si>
    <t>JABATAN</t>
  </si>
  <si>
    <t>DEPT/SEKSI</t>
  </si>
  <si>
    <t>LAMA DINAS</t>
  </si>
  <si>
    <t>UANG HARIAN</t>
  </si>
  <si>
    <t>UANG    PERLENGKAPAN</t>
  </si>
  <si>
    <t>UANG MUSIM DINGIN</t>
  </si>
  <si>
    <t>LAIN-LAIN</t>
  </si>
  <si>
    <t>JUMLAH YANG DIBAYARKAN</t>
  </si>
  <si>
    <t>1.</t>
  </si>
  <si>
    <t>Yang mengesahkan</t>
  </si>
  <si>
    <t>Departemen SDM</t>
  </si>
  <si>
    <t>Yang diperintahkan</t>
  </si>
  <si>
    <t>DEPT</t>
  </si>
  <si>
    <t>JUMLAH</t>
  </si>
  <si>
    <t>Dani Jatnika</t>
  </si>
  <si>
    <t>Kadep SDM</t>
  </si>
  <si>
    <t>Kadep</t>
  </si>
  <si>
    <t>2.</t>
  </si>
  <si>
    <t>3.</t>
  </si>
  <si>
    <t>Kaun</t>
  </si>
  <si>
    <t>1 Hari</t>
  </si>
  <si>
    <t xml:space="preserve"> 1 Hari</t>
  </si>
  <si>
    <t>JAKARTA</t>
  </si>
  <si>
    <t>Restu Nashyratunisa</t>
  </si>
  <si>
    <t>SDM</t>
  </si>
  <si>
    <t>Dafasum</t>
  </si>
  <si>
    <t>KARAWANG</t>
  </si>
  <si>
    <t>Kasek</t>
  </si>
  <si>
    <t>Senior Staff</t>
  </si>
  <si>
    <t>09/VII/SPD/PTKP/2025</t>
  </si>
  <si>
    <t>BALI</t>
  </si>
  <si>
    <t>Puteri Zulieni</t>
  </si>
  <si>
    <t>Jarot Bujono</t>
  </si>
  <si>
    <t>plt. Dir Utama</t>
  </si>
  <si>
    <t>plt. Dir Keuangan</t>
  </si>
  <si>
    <t>3 Hari</t>
  </si>
  <si>
    <t>Terbilan  :     Tiga Juta Tiga Ratus Ribu Rupiah</t>
  </si>
  <si>
    <t>Padalarang, 09 Juli 2025</t>
  </si>
  <si>
    <t>R. Iman Santoso</t>
  </si>
  <si>
    <t>Kasek Op</t>
  </si>
  <si>
    <t>Iman Nurzaman</t>
  </si>
  <si>
    <t>4.</t>
  </si>
  <si>
    <t>Haryadi Sumiarto</t>
  </si>
  <si>
    <t>37/IX/SPD/PTKP/2025</t>
  </si>
  <si>
    <t>Terbilang :    Seratus Dua Belas Ribu Lima Ratus Rupiah</t>
  </si>
  <si>
    <t>Padalarang, 25 September 2025</t>
  </si>
  <si>
    <t>40/IX/SPD/PTKP/2025</t>
  </si>
  <si>
    <t>5.</t>
  </si>
  <si>
    <t>6.</t>
  </si>
  <si>
    <t>8.</t>
  </si>
  <si>
    <t>Rahmat Hidayat</t>
  </si>
  <si>
    <t>Staff</t>
  </si>
  <si>
    <t>Akuntansi &amp; Pengelolaan Risiko</t>
  </si>
  <si>
    <t>Padalarang, 27 September 2025</t>
  </si>
  <si>
    <t>9.</t>
  </si>
  <si>
    <t>10.</t>
  </si>
  <si>
    <t>Yusup Suparman</t>
  </si>
  <si>
    <t>Rina Rohani</t>
  </si>
  <si>
    <t>Operator Utama</t>
  </si>
  <si>
    <t>Teknik</t>
  </si>
  <si>
    <t>Produksi</t>
  </si>
  <si>
    <t>Terbilang  :     Satu Juta Dua Ratus Tiga Puluh Ribu Rupiah</t>
  </si>
  <si>
    <t>37/X/SPD/PTKP/2025</t>
  </si>
  <si>
    <t>BANDUNG (PELATIHAN)</t>
  </si>
  <si>
    <t xml:space="preserve"> 6 Hari</t>
  </si>
  <si>
    <t>Asep Saripudin</t>
  </si>
  <si>
    <t>SDM / Pengamanan</t>
  </si>
  <si>
    <t>Terbilang  :      Sembilan Ratus Ribu Rupiah</t>
  </si>
  <si>
    <t>Padalarang, 23 Oktober 2025</t>
  </si>
  <si>
    <t>Terbilang  :      Seratus Tiga Puluh Lima Ribu Rupiah</t>
  </si>
  <si>
    <t>32/XII/SPD/PTKP/2025</t>
  </si>
  <si>
    <t>Padalarang, 15 Desember 2025</t>
  </si>
  <si>
    <t>Terbilang  :     Dua Ratus Empat Puluh Tujuh Ribu Lima Ratus Rupiah</t>
  </si>
  <si>
    <t>18/I/SPD/PTKP/2026</t>
  </si>
  <si>
    <t>Padalarang, 14 Januari 2026</t>
  </si>
  <si>
    <t>45/I/SPD/PTKP/2026</t>
  </si>
  <si>
    <t>Terbilang :    Seratus Ribu Rupiah</t>
  </si>
  <si>
    <t>Padalarang, 26 Januari 2026</t>
  </si>
  <si>
    <t>Yosi Rosmini</t>
  </si>
  <si>
    <t>Irfan Dwi Prasetyo</t>
  </si>
  <si>
    <t>Robby Yoga Pratama</t>
  </si>
  <si>
    <t>SPI</t>
  </si>
  <si>
    <t>Terbilang  :       Enam Ratus Tiga Puluh Lima Ribu Rupiah</t>
  </si>
  <si>
    <t>Padalarang, 05 Februari 2026</t>
  </si>
  <si>
    <t>11/II/SPD/PTKP/2026</t>
  </si>
  <si>
    <t>17/II/SPD/PTKP/2026</t>
  </si>
  <si>
    <t>Tia Agusti Anuuru</t>
  </si>
  <si>
    <t>Terbilang  :      Seratus Enam Puluh Lima Ribu Rupiah</t>
  </si>
  <si>
    <t>Padalarang, 09 Februari 2026</t>
  </si>
  <si>
    <t>Benny Saputra</t>
  </si>
  <si>
    <t>35/V/SPD/PTKP/2026</t>
  </si>
  <si>
    <t>Terbilang  :     Tiga Ratus Tiga Puluh Tujuh Ribu Lima Ratus Rupiah</t>
  </si>
  <si>
    <t>Padalarang, 02 Juni 2026</t>
  </si>
  <si>
    <t xml:space="preserve">Kasek </t>
  </si>
  <si>
    <t>23/VII/SPD/PTKP/2026</t>
  </si>
  <si>
    <t>Dimas Andhika</t>
  </si>
  <si>
    <t>Junico Rismawan</t>
  </si>
  <si>
    <t>Muhammad Fahrurozi</t>
  </si>
  <si>
    <t>Jamkendal</t>
  </si>
  <si>
    <t>Padalarang, 17 Juli 2026</t>
  </si>
  <si>
    <t>Terbilang  :     Empat Ratus  Ribu Rupiah</t>
  </si>
  <si>
    <t>22/VIII/SPD/PTKP/2026</t>
  </si>
  <si>
    <t>Windi Permana</t>
  </si>
  <si>
    <t>Terbilang  :      Dua Ratus Ribu Rupiah</t>
  </si>
  <si>
    <t>Padalarang, 20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</si>
</sst>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\-_);_(@_)"/>
    <numFmt numFmtId="165" formatCode="_(&quot;Rp&quot;* #,##0_);_(&quot;Rp&quot;* \(#,##0\);_(&quot;Rp&quot;* \-_);_(@_)"/>
    <numFmt numFmtId="166" formatCode="_-&quot;Rp&quot;* #,##0_-;\-&quot;Rp&quot;* #,##0_-;_-&quot;Rp&quot;* &quot;-&quot;??_-;_-@_-"/>
  </numFmts>
  <fonts count="1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3" fillId="0" borderId="0" applyBorder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2" fillId="0" borderId="0" xfId="0" applyFont="1"/>
    <xf numFmtId="0" fontId="4" fillId="0" borderId="0" xfId="0" applyFont="1"/>
    <xf numFmtId="0" fontId="5" fillId="2" borderId="0" xfId="0" applyFont="1" applyFill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/>
    <xf numFmtId="0" fontId="10" fillId="2" borderId="0" xfId="0" applyFont="1" applyFill="1"/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9" fillId="0" borderId="0" xfId="0" applyFont="1" applyAlignment="1">
      <alignment horizontal="left"/>
    </xf>
    <xf numFmtId="14" fontId="9" fillId="0" borderId="0" xfId="0" applyNumberFormat="1" applyFont="1" applyAlignment="1">
      <alignment horizontal="left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5" fontId="10" fillId="0" borderId="2" xfId="1" applyNumberFormat="1" applyFont="1" applyBorder="1" applyAlignment="1" applyProtection="1">
      <alignment horizontal="center" vertical="center"/>
    </xf>
    <xf numFmtId="165" fontId="10" fillId="0" borderId="3" xfId="1" applyNumberFormat="1" applyFont="1" applyBorder="1" applyAlignment="1" applyProtection="1">
      <alignment horizontal="center" vertical="center"/>
    </xf>
    <xf numFmtId="165" fontId="10" fillId="0" borderId="4" xfId="1" applyNumberFormat="1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1" applyNumberFormat="1" applyFont="1" applyBorder="1" applyAlignment="1" applyProtection="1">
      <alignment horizontal="center" vertical="center"/>
    </xf>
    <xf numFmtId="164" fontId="0" fillId="0" borderId="1" xfId="1" applyFont="1" applyBorder="1" applyAlignment="1" applyProtection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5" fontId="0" fillId="0" borderId="2" xfId="1" applyNumberFormat="1" applyFont="1" applyBorder="1" applyAlignment="1" applyProtection="1">
      <alignment horizontal="center" vertical="center"/>
    </xf>
    <xf numFmtId="165" fontId="0" fillId="0" borderId="3" xfId="1" applyNumberFormat="1" applyFont="1" applyBorder="1" applyAlignment="1" applyProtection="1">
      <alignment horizontal="center" vertical="center"/>
    </xf>
    <xf numFmtId="165" fontId="0" fillId="0" borderId="4" xfId="1" applyNumberFormat="1" applyFont="1" applyBorder="1" applyAlignment="1" applyProtection="1">
      <alignment horizontal="center" vertical="center"/>
    </xf>
    <xf numFmtId="164" fontId="0" fillId="0" borderId="2" xfId="1" applyFont="1" applyBorder="1" applyAlignment="1" applyProtection="1">
      <alignment horizontal="center" vertical="center"/>
    </xf>
    <xf numFmtId="164" fontId="0" fillId="0" borderId="3" xfId="1" applyFont="1" applyBorder="1" applyAlignment="1" applyProtection="1">
      <alignment horizontal="center" vertical="center"/>
    </xf>
    <xf numFmtId="164" fontId="0" fillId="0" borderId="4" xfId="1" applyFont="1" applyBorder="1" applyAlignment="1" applyProtection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166" fontId="0" fillId="0" borderId="2" xfId="1" applyNumberFormat="1" applyFont="1" applyBorder="1" applyAlignment="1" applyProtection="1">
      <alignment horizontal="center" vertical="center"/>
    </xf>
    <xf numFmtId="166" fontId="0" fillId="0" borderId="3" xfId="1" applyNumberFormat="1" applyFont="1" applyBorder="1" applyAlignment="1" applyProtection="1">
      <alignment horizontal="center" vertical="center"/>
    </xf>
    <xf numFmtId="166" fontId="0" fillId="0" borderId="4" xfId="1" applyNumberFormat="1" applyFont="1" applyBorder="1" applyAlignment="1" applyProtection="1">
      <alignment horizontal="center" vertical="center"/>
    </xf>
    <xf numFmtId="0" fontId="1" fillId="0" borderId="0" xfId="0" applyFont="1" applyAlignment="1">
      <alignment horizontal="center"/>
    </xf>
    <xf numFmtId="164" fontId="10" fillId="0" borderId="2" xfId="1" applyFont="1" applyBorder="1" applyAlignment="1" applyProtection="1">
      <alignment horizontal="center" vertical="center"/>
    </xf>
    <xf numFmtId="164" fontId="10" fillId="0" borderId="3" xfId="1" applyFont="1" applyBorder="1" applyAlignment="1" applyProtection="1">
      <alignment horizontal="center" vertical="center"/>
    </xf>
    <xf numFmtId="164" fontId="10" fillId="0" borderId="4" xfId="1" applyFont="1" applyBorder="1" applyAlignment="1" applyProtection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/>
    </xf>
    <xf numFmtId="165" fontId="10" fillId="0" borderId="4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86040</xdr:colOff>
      <xdr:row>0</xdr:row>
      <xdr:rowOff>171492</xdr:rowOff>
    </xdr:from>
    <xdr:to>
      <xdr:col>6</xdr:col>
      <xdr:colOff>87191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490" y="171492"/>
          <a:ext cx="1037821" cy="457158"/>
        </a:xfrm>
        <a:prstGeom prst="rect">
          <a:avLst/>
        </a:prstGeom>
        <a:ln>
          <a:noFill/>
        </a:ln>
      </xdr:spPr>
    </xdr:pic>
    <xdr:clientData/>
  </xdr:twoCellAnchor>
  <xdr:oneCellAnchor>
    <xdr:from>
      <xdr:col>1</xdr:col>
      <xdr:colOff>86039</xdr:colOff>
      <xdr:row>128</xdr:row>
      <xdr:rowOff>178079</xdr:rowOff>
    </xdr:from>
    <xdr:ext cx="1038015" cy="457244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489" y="14036954"/>
          <a:ext cx="1038015" cy="457244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</xdr:col>
      <xdr:colOff>86040</xdr:colOff>
      <xdr:row>191</xdr:row>
      <xdr:rowOff>178079</xdr:rowOff>
    </xdr:from>
    <xdr:ext cx="1056960" cy="469621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490" y="21180704"/>
          <a:ext cx="1056960" cy="469621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</xdr:col>
      <xdr:colOff>86040</xdr:colOff>
      <xdr:row>217</xdr:row>
      <xdr:rowOff>178079</xdr:rowOff>
    </xdr:from>
    <xdr:ext cx="1130982" cy="498196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490" y="28324454"/>
          <a:ext cx="1130982" cy="498196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</xdr:col>
      <xdr:colOff>86040</xdr:colOff>
      <xdr:row>243</xdr:row>
      <xdr:rowOff>178079</xdr:rowOff>
    </xdr:from>
    <xdr:ext cx="1130982" cy="498196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490" y="35468204"/>
          <a:ext cx="1130982" cy="498196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</xdr:col>
      <xdr:colOff>86040</xdr:colOff>
      <xdr:row>271</xdr:row>
      <xdr:rowOff>178079</xdr:rowOff>
    </xdr:from>
    <xdr:ext cx="1130982" cy="498196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490" y="42802454"/>
          <a:ext cx="1130982" cy="498196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</xdr:col>
      <xdr:colOff>86040</xdr:colOff>
      <xdr:row>328</xdr:row>
      <xdr:rowOff>178079</xdr:rowOff>
    </xdr:from>
    <xdr:ext cx="1130982" cy="498196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490" y="50136704"/>
          <a:ext cx="1130982" cy="498196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</xdr:col>
      <xdr:colOff>202672</xdr:colOff>
      <xdr:row>70</xdr:row>
      <xdr:rowOff>134496</xdr:rowOff>
    </xdr:from>
    <xdr:ext cx="1264955" cy="536142"/>
    <xdr:pic>
      <xdr:nvPicPr>
        <xdr:cNvPr id="11" name="Picture 10">
          <a:extLst>
            <a:ext uri="{FF2B5EF4-FFF2-40B4-BE49-F238E27FC236}">
              <a16:creationId xmlns:a16="http://schemas.microsoft.com/office/drawing/2014/main" id="{8B488F1E-D620-4759-A7A4-338ECC3CD76B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621" y="7841970"/>
          <a:ext cx="1264955" cy="536142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</xdr:col>
      <xdr:colOff>86040</xdr:colOff>
      <xdr:row>99</xdr:row>
      <xdr:rowOff>139200</xdr:rowOff>
    </xdr:from>
    <xdr:ext cx="1527378" cy="638350"/>
    <xdr:pic>
      <xdr:nvPicPr>
        <xdr:cNvPr id="13" name="Picture 12">
          <a:extLst>
            <a:ext uri="{FF2B5EF4-FFF2-40B4-BE49-F238E27FC236}">
              <a16:creationId xmlns:a16="http://schemas.microsoft.com/office/drawing/2014/main" id="{4A9CBEA3-6461-4297-B870-FF2FD21605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0989" y="24777848"/>
          <a:ext cx="1527378" cy="638350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</xdr:col>
      <xdr:colOff>86040</xdr:colOff>
      <xdr:row>163</xdr:row>
      <xdr:rowOff>178079</xdr:rowOff>
    </xdr:from>
    <xdr:ext cx="1056960" cy="469621"/>
    <xdr:pic>
      <xdr:nvPicPr>
        <xdr:cNvPr id="3" name="Picture 2">
          <a:extLst>
            <a:ext uri="{FF2B5EF4-FFF2-40B4-BE49-F238E27FC236}">
              <a16:creationId xmlns:a16="http://schemas.microsoft.com/office/drawing/2014/main" id="{8095325C-22D5-4DEA-AB79-4D7CBABE0B1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0989" y="35896829"/>
          <a:ext cx="1056960" cy="469621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</xdr:col>
      <xdr:colOff>86040</xdr:colOff>
      <xdr:row>37</xdr:row>
      <xdr:rowOff>178079</xdr:rowOff>
    </xdr:from>
    <xdr:ext cx="1130982" cy="498196"/>
    <xdr:pic>
      <xdr:nvPicPr>
        <xdr:cNvPr id="10" name="Picture 9">
          <a:extLst>
            <a:ext uri="{FF2B5EF4-FFF2-40B4-BE49-F238E27FC236}">
              <a16:creationId xmlns:a16="http://schemas.microsoft.com/office/drawing/2014/main" id="{AC5AF852-AA67-410C-9835-2F9DCCAE2553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0989" y="50942441"/>
          <a:ext cx="1130982" cy="498196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</xdr:col>
      <xdr:colOff>154075</xdr:colOff>
      <xdr:row>301</xdr:row>
      <xdr:rowOff>8144</xdr:rowOff>
    </xdr:from>
    <xdr:ext cx="1264955" cy="536142"/>
    <xdr:pic>
      <xdr:nvPicPr>
        <xdr:cNvPr id="12" name="Picture 11">
          <a:extLst>
            <a:ext uri="{FF2B5EF4-FFF2-40B4-BE49-F238E27FC236}">
              <a16:creationId xmlns:a16="http://schemas.microsoft.com/office/drawing/2014/main" id="{DD3E8E8B-53A2-454B-A299-A640D9ABCEFD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9024" y="75887404"/>
          <a:ext cx="1264955" cy="536142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T362"/>
  <sheetViews>
    <sheetView showGridLines="0" tabSelected="1" view="pageBreakPreview" topLeftCell="A97" zoomScale="98" zoomScaleNormal="100" zoomScaleSheetLayoutView="98" zoomScalePageLayoutView="98" workbookViewId="0">
      <selection activeCell="BN118" sqref="BN118"/>
    </sheetView>
  </sheetViews>
  <sheetFormatPr defaultRowHeight="15" x14ac:dyDescent="0.25"/>
  <cols>
    <col min="1" max="1" width="2.5703125"/>
    <col min="2" max="2" width="3.85546875"/>
    <col min="3" max="3" width="4.140625" bestFit="1" customWidth="1"/>
    <col min="4" max="8" width="2.5703125"/>
    <col min="9" max="9" width="3.28515625" customWidth="1"/>
    <col min="10" max="10" width="3.5703125" customWidth="1"/>
    <col min="11" max="11" width="2.28515625"/>
    <col min="12" max="12" width="2.7109375"/>
    <col min="13" max="13" width="3.85546875" customWidth="1"/>
    <col min="14" max="14" width="2.5703125"/>
    <col min="15" max="15" width="1.28515625"/>
    <col min="16" max="16" width="2.5703125"/>
    <col min="17" max="17" width="4"/>
    <col min="18" max="18" width="1.5703125"/>
    <col min="19" max="19" width="2.5703125" customWidth="1"/>
    <col min="20" max="20" width="3.5703125"/>
    <col min="21" max="21" width="2.5703125"/>
    <col min="22" max="22" width="4.140625" customWidth="1"/>
    <col min="23" max="23" width="1.5703125" customWidth="1"/>
    <col min="24" max="24" width="0" hidden="1" customWidth="1"/>
    <col min="25" max="25" width="0.140625" hidden="1" customWidth="1"/>
    <col min="26" max="26" width="4.140625"/>
    <col min="27" max="29" width="2.5703125"/>
    <col min="30" max="30" width="0.42578125"/>
    <col min="31" max="31" width="0.85546875"/>
    <col min="32" max="32" width="2.5703125"/>
    <col min="33" max="33" width="5.42578125" customWidth="1"/>
    <col min="34" max="35" width="2.5703125"/>
    <col min="36" max="36" width="2.28515625"/>
    <col min="37" max="40" width="2.7109375" customWidth="1"/>
    <col min="41" max="41" width="3.5703125" customWidth="1"/>
    <col min="42" max="44" width="3.7109375" customWidth="1"/>
    <col min="45" max="45" width="4.42578125" customWidth="1"/>
    <col min="46" max="46" width="1.5703125" customWidth="1"/>
    <col min="47" max="49" width="2.5703125"/>
    <col min="50" max="50" width="5.5703125" customWidth="1"/>
    <col min="51" max="51" width="3.140625" customWidth="1"/>
    <col min="52" max="55" width="2.5703125"/>
    <col min="56" max="56" width="6.5703125" customWidth="1"/>
    <col min="57" max="61" width="2.5703125"/>
    <col min="62" max="1024" width="8.5703125"/>
  </cols>
  <sheetData>
    <row r="1" spans="2:62" ht="18.75" x14ac:dyDescent="0.3">
      <c r="B1" s="70" t="s">
        <v>0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</row>
    <row r="2" spans="2:62" ht="18.75" x14ac:dyDescent="0.3">
      <c r="B2" s="70" t="s">
        <v>1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</row>
    <row r="3" spans="2:6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5" spans="2:62" ht="20.100000000000001" customHeight="1" x14ac:dyDescent="0.25">
      <c r="B5" s="64" t="s">
        <v>2</v>
      </c>
      <c r="C5" s="64"/>
      <c r="D5" s="64"/>
      <c r="E5" s="64"/>
      <c r="F5" s="64"/>
      <c r="G5" s="64"/>
      <c r="H5" s="64"/>
      <c r="I5" s="64"/>
      <c r="J5" s="1" t="s">
        <v>3</v>
      </c>
      <c r="K5" s="64" t="s">
        <v>41</v>
      </c>
      <c r="L5" s="64"/>
      <c r="M5" s="64"/>
      <c r="N5" s="64"/>
      <c r="O5" s="64"/>
      <c r="P5" s="64"/>
      <c r="Q5" s="64"/>
      <c r="R5" s="64"/>
      <c r="S5" s="64"/>
      <c r="AA5" s="64" t="s">
        <v>4</v>
      </c>
      <c r="AB5" s="64"/>
      <c r="AC5" s="64"/>
      <c r="AD5" s="64"/>
      <c r="AE5" s="64"/>
      <c r="AF5" s="64"/>
      <c r="AG5" s="64"/>
      <c r="AH5" t="s">
        <v>3</v>
      </c>
      <c r="AI5" s="65">
        <v>45847</v>
      </c>
      <c r="AJ5" s="65"/>
      <c r="AK5" s="65"/>
      <c r="AL5" s="65"/>
      <c r="AM5" s="65"/>
      <c r="AN5" s="65"/>
      <c r="AO5" s="65"/>
      <c r="AP5" s="65"/>
      <c r="AQ5" s="65"/>
      <c r="AR5" s="65"/>
    </row>
    <row r="6" spans="2:62" ht="20.100000000000001" customHeight="1" x14ac:dyDescent="0.25">
      <c r="B6" s="64" t="s">
        <v>5</v>
      </c>
      <c r="C6" s="64"/>
      <c r="D6" s="64"/>
      <c r="E6" s="64"/>
      <c r="F6" s="64"/>
      <c r="G6" s="64"/>
      <c r="H6" s="64"/>
      <c r="I6" s="64"/>
      <c r="J6" s="1" t="s">
        <v>3</v>
      </c>
      <c r="K6" s="65">
        <v>45847</v>
      </c>
      <c r="L6" s="65"/>
      <c r="M6" s="65"/>
      <c r="N6" s="65"/>
      <c r="O6" s="65"/>
      <c r="P6" s="65"/>
      <c r="Q6" s="65"/>
      <c r="R6" s="65"/>
      <c r="S6" s="65"/>
      <c r="AA6" s="64" t="s">
        <v>6</v>
      </c>
      <c r="AB6" s="64"/>
      <c r="AC6" s="64"/>
      <c r="AD6" s="64"/>
      <c r="AE6" s="64"/>
      <c r="AF6" s="64"/>
      <c r="AG6" s="64"/>
      <c r="AH6" t="s">
        <v>3</v>
      </c>
      <c r="AI6" s="65">
        <v>45849</v>
      </c>
      <c r="AJ6" s="65"/>
      <c r="AK6" s="65"/>
      <c r="AL6" s="65"/>
      <c r="AM6" s="65"/>
      <c r="AN6" s="65"/>
      <c r="AO6" s="65"/>
      <c r="AP6" s="65"/>
      <c r="AQ6" s="65"/>
      <c r="AR6" s="65"/>
    </row>
    <row r="7" spans="2:62" ht="20.100000000000001" customHeight="1" x14ac:dyDescent="0.25">
      <c r="B7" s="64" t="s">
        <v>7</v>
      </c>
      <c r="C7" s="64"/>
      <c r="D7" s="64"/>
      <c r="E7" s="64"/>
      <c r="F7" s="64"/>
      <c r="G7" s="64"/>
      <c r="H7" s="64"/>
      <c r="I7" s="64"/>
      <c r="J7" s="1" t="s">
        <v>3</v>
      </c>
      <c r="K7" s="64" t="s">
        <v>42</v>
      </c>
      <c r="L7" s="64"/>
      <c r="M7" s="64"/>
      <c r="N7" s="64"/>
      <c r="O7" s="64"/>
      <c r="P7" s="64"/>
      <c r="Q7" s="64"/>
      <c r="R7" s="64"/>
      <c r="S7" s="64"/>
      <c r="T7" s="64"/>
      <c r="U7" s="64"/>
      <c r="W7" t="s">
        <v>8</v>
      </c>
    </row>
    <row r="8" spans="2:62" x14ac:dyDescent="0.25">
      <c r="J8" s="1"/>
    </row>
    <row r="9" spans="2:62" ht="30" customHeight="1" x14ac:dyDescent="0.25">
      <c r="B9" s="2" t="s">
        <v>9</v>
      </c>
      <c r="C9" s="36" t="s">
        <v>10</v>
      </c>
      <c r="D9" s="36"/>
      <c r="E9" s="36"/>
      <c r="F9" s="36"/>
      <c r="G9" s="36"/>
      <c r="H9" s="36"/>
      <c r="I9" s="36"/>
      <c r="J9" s="36"/>
      <c r="K9" s="36" t="s">
        <v>11</v>
      </c>
      <c r="L9" s="36"/>
      <c r="M9" s="36"/>
      <c r="N9" s="36" t="s">
        <v>12</v>
      </c>
      <c r="O9" s="36"/>
      <c r="P9" s="36"/>
      <c r="Q9" s="36"/>
      <c r="R9" s="36"/>
      <c r="S9" s="36"/>
      <c r="T9" s="36" t="s">
        <v>13</v>
      </c>
      <c r="U9" s="36"/>
      <c r="V9" s="36"/>
      <c r="W9" s="36"/>
      <c r="X9" s="36"/>
      <c r="Y9" s="36"/>
      <c r="Z9" s="36" t="s">
        <v>14</v>
      </c>
      <c r="AA9" s="36"/>
      <c r="AB9" s="36"/>
      <c r="AC9" s="36"/>
      <c r="AD9" s="36"/>
      <c r="AE9" s="36"/>
      <c r="AF9" s="36" t="s">
        <v>15</v>
      </c>
      <c r="AG9" s="36"/>
      <c r="AH9" s="36"/>
      <c r="AI9" s="36"/>
      <c r="AJ9" s="36"/>
      <c r="AK9" s="63" t="s">
        <v>16</v>
      </c>
      <c r="AL9" s="63"/>
      <c r="AM9" s="63"/>
      <c r="AN9" s="63"/>
      <c r="AO9" s="63"/>
      <c r="AP9" s="63" t="s">
        <v>17</v>
      </c>
      <c r="AQ9" s="63"/>
      <c r="AR9" s="63"/>
      <c r="AS9" s="63"/>
      <c r="AT9" s="63"/>
      <c r="AU9" s="36" t="s">
        <v>18</v>
      </c>
      <c r="AV9" s="36"/>
      <c r="AW9" s="36"/>
      <c r="AX9" s="36"/>
      <c r="AY9" s="36"/>
      <c r="AZ9" s="63" t="s">
        <v>19</v>
      </c>
      <c r="BA9" s="63"/>
      <c r="BB9" s="63"/>
      <c r="BC9" s="63"/>
      <c r="BD9" s="63"/>
    </row>
    <row r="10" spans="2:62" ht="27.95" customHeight="1" x14ac:dyDescent="0.25">
      <c r="B10" s="3" t="s">
        <v>20</v>
      </c>
      <c r="C10" s="38" t="s">
        <v>43</v>
      </c>
      <c r="D10" s="38"/>
      <c r="E10" s="38"/>
      <c r="F10" s="38"/>
      <c r="G10" s="38"/>
      <c r="H10" s="38"/>
      <c r="I10" s="38"/>
      <c r="J10" s="38"/>
      <c r="K10" s="36">
        <v>1749</v>
      </c>
      <c r="L10" s="36"/>
      <c r="M10" s="36"/>
      <c r="N10" s="36" t="s">
        <v>45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 t="s">
        <v>47</v>
      </c>
      <c r="AA10" s="36"/>
      <c r="AB10" s="36"/>
      <c r="AC10" s="36"/>
      <c r="AD10" s="36"/>
      <c r="AE10" s="36"/>
      <c r="AF10" s="39">
        <v>400000</v>
      </c>
      <c r="AG10" s="39"/>
      <c r="AH10" s="39"/>
      <c r="AI10" s="39"/>
      <c r="AJ10" s="39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1">
        <f>AF10*3</f>
        <v>1200000</v>
      </c>
      <c r="BA10" s="41"/>
      <c r="BB10" s="41"/>
      <c r="BC10" s="41"/>
      <c r="BD10" s="41"/>
      <c r="BJ10" t="s">
        <v>8</v>
      </c>
    </row>
    <row r="11" spans="2:62" ht="27.95" customHeight="1" x14ac:dyDescent="0.25">
      <c r="B11" s="3" t="s">
        <v>29</v>
      </c>
      <c r="C11" s="38" t="s">
        <v>44</v>
      </c>
      <c r="D11" s="38"/>
      <c r="E11" s="38"/>
      <c r="F11" s="38"/>
      <c r="G11" s="38"/>
      <c r="H11" s="38"/>
      <c r="I11" s="38"/>
      <c r="J11" s="38"/>
      <c r="K11" s="36">
        <v>1978</v>
      </c>
      <c r="L11" s="36"/>
      <c r="M11" s="36"/>
      <c r="N11" s="36" t="s">
        <v>46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 t="s">
        <v>47</v>
      </c>
      <c r="AA11" s="36"/>
      <c r="AB11" s="36"/>
      <c r="AC11" s="36"/>
      <c r="AD11" s="36"/>
      <c r="AE11" s="36"/>
      <c r="AF11" s="39">
        <v>400000</v>
      </c>
      <c r="AG11" s="39"/>
      <c r="AH11" s="39"/>
      <c r="AI11" s="39"/>
      <c r="AJ11" s="39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1">
        <f t="shared" ref="AZ11:AZ12" si="0">AF11*3</f>
        <v>1200000</v>
      </c>
      <c r="BA11" s="41"/>
      <c r="BB11" s="41"/>
      <c r="BC11" s="41"/>
      <c r="BD11" s="41"/>
    </row>
    <row r="12" spans="2:62" ht="27.95" customHeight="1" x14ac:dyDescent="0.25">
      <c r="B12" s="3" t="s">
        <v>30</v>
      </c>
      <c r="C12" s="38" t="s">
        <v>26</v>
      </c>
      <c r="D12" s="38"/>
      <c r="E12" s="38"/>
      <c r="F12" s="38"/>
      <c r="G12" s="38"/>
      <c r="H12" s="38"/>
      <c r="I12" s="38"/>
      <c r="J12" s="38"/>
      <c r="K12" s="36">
        <v>1759</v>
      </c>
      <c r="L12" s="36"/>
      <c r="M12" s="36"/>
      <c r="N12" s="36" t="s">
        <v>28</v>
      </c>
      <c r="O12" s="36"/>
      <c r="P12" s="36"/>
      <c r="Q12" s="36"/>
      <c r="R12" s="36"/>
      <c r="S12" s="36"/>
      <c r="T12" s="36" t="s">
        <v>36</v>
      </c>
      <c r="U12" s="36"/>
      <c r="V12" s="36"/>
      <c r="W12" s="36"/>
      <c r="X12" s="36"/>
      <c r="Y12" s="36"/>
      <c r="Z12" s="36" t="s">
        <v>47</v>
      </c>
      <c r="AA12" s="36"/>
      <c r="AB12" s="36"/>
      <c r="AC12" s="36"/>
      <c r="AD12" s="36"/>
      <c r="AE12" s="36"/>
      <c r="AF12" s="54">
        <v>300000</v>
      </c>
      <c r="AG12" s="55"/>
      <c r="AH12" s="55"/>
      <c r="AI12" s="55"/>
      <c r="AJ12" s="56"/>
      <c r="AK12" s="57"/>
      <c r="AL12" s="58"/>
      <c r="AM12" s="58"/>
      <c r="AN12" s="58"/>
      <c r="AO12" s="59"/>
      <c r="AP12" s="57"/>
      <c r="AQ12" s="58"/>
      <c r="AR12" s="58"/>
      <c r="AS12" s="58"/>
      <c r="AT12" s="59"/>
      <c r="AU12" s="57"/>
      <c r="AV12" s="58"/>
      <c r="AW12" s="58"/>
      <c r="AX12" s="58"/>
      <c r="AY12" s="59"/>
      <c r="AZ12" s="41">
        <f t="shared" si="0"/>
        <v>900000</v>
      </c>
      <c r="BA12" s="41"/>
      <c r="BB12" s="41"/>
      <c r="BC12" s="41"/>
      <c r="BD12" s="41"/>
      <c r="BG12" t="s">
        <v>8</v>
      </c>
    </row>
    <row r="13" spans="2:62" ht="27.95" customHeight="1" x14ac:dyDescent="0.25">
      <c r="B13" s="3"/>
      <c r="C13" s="38"/>
      <c r="D13" s="38"/>
      <c r="E13" s="38"/>
      <c r="F13" s="38"/>
      <c r="G13" s="38"/>
      <c r="H13" s="38"/>
      <c r="I13" s="38"/>
      <c r="J13" s="38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54"/>
      <c r="AG13" s="55"/>
      <c r="AH13" s="55"/>
      <c r="AI13" s="55"/>
      <c r="AJ13" s="56"/>
      <c r="AK13" s="57"/>
      <c r="AL13" s="58"/>
      <c r="AM13" s="58"/>
      <c r="AN13" s="58"/>
      <c r="AO13" s="59"/>
      <c r="AP13" s="57"/>
      <c r="AQ13" s="58"/>
      <c r="AR13" s="58"/>
      <c r="AS13" s="58"/>
      <c r="AT13" s="59"/>
      <c r="AU13" s="57"/>
      <c r="AV13" s="58"/>
      <c r="AW13" s="58"/>
      <c r="AX13" s="58"/>
      <c r="AY13" s="59"/>
      <c r="AZ13" s="41"/>
      <c r="BA13" s="41"/>
      <c r="BB13" s="41"/>
      <c r="BC13" s="41"/>
      <c r="BD13" s="41"/>
      <c r="BH13" t="s">
        <v>8</v>
      </c>
      <c r="BJ13" t="s">
        <v>8</v>
      </c>
    </row>
    <row r="14" spans="2:62" ht="27.95" customHeight="1" x14ac:dyDescent="0.25">
      <c r="B14" s="3"/>
      <c r="C14" s="38"/>
      <c r="D14" s="38"/>
      <c r="E14" s="38"/>
      <c r="F14" s="38"/>
      <c r="G14" s="38"/>
      <c r="H14" s="38"/>
      <c r="I14" s="38"/>
      <c r="J14" s="38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9"/>
      <c r="AG14" s="39"/>
      <c r="AH14" s="39"/>
      <c r="AI14" s="39"/>
      <c r="AJ14" s="39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1"/>
      <c r="BA14" s="41"/>
      <c r="BB14" s="41"/>
      <c r="BC14" s="41"/>
      <c r="BD14" s="41"/>
      <c r="BI14" t="s">
        <v>8</v>
      </c>
      <c r="BJ14" t="s">
        <v>8</v>
      </c>
    </row>
    <row r="15" spans="2:62" ht="27.95" customHeight="1" x14ac:dyDescent="0.25">
      <c r="B15" s="3"/>
      <c r="C15" s="38"/>
      <c r="D15" s="38"/>
      <c r="E15" s="38"/>
      <c r="F15" s="38"/>
      <c r="G15" s="38"/>
      <c r="H15" s="38"/>
      <c r="I15" s="38"/>
      <c r="J15" s="38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9"/>
      <c r="AG15" s="39"/>
      <c r="AH15" s="39"/>
      <c r="AI15" s="39"/>
      <c r="AJ15" s="39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1"/>
      <c r="BA15" s="41"/>
      <c r="BB15" s="41"/>
      <c r="BC15" s="41"/>
      <c r="BD15" s="41"/>
    </row>
    <row r="16" spans="2:62" ht="27.95" customHeight="1" x14ac:dyDescent="0.25">
      <c r="B16" s="3"/>
      <c r="C16" s="38"/>
      <c r="D16" s="38"/>
      <c r="E16" s="38"/>
      <c r="F16" s="38"/>
      <c r="G16" s="38"/>
      <c r="H16" s="38"/>
      <c r="I16" s="38"/>
      <c r="J16" s="38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9"/>
      <c r="AG16" s="39"/>
      <c r="AH16" s="39"/>
      <c r="AI16" s="39"/>
      <c r="AJ16" s="39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1"/>
      <c r="BA16" s="41"/>
      <c r="BB16" s="41"/>
      <c r="BC16" s="41"/>
      <c r="BD16" s="41"/>
    </row>
    <row r="17" spans="2:62" ht="22.5" customHeight="1" x14ac:dyDescent="0.25"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7">
        <f>SUM(AZ10:AZ16)</f>
        <v>3300000</v>
      </c>
      <c r="BA17" s="37"/>
      <c r="BB17" s="37"/>
      <c r="BC17" s="37"/>
      <c r="BD17" s="37"/>
      <c r="BJ17" t="s">
        <v>8</v>
      </c>
    </row>
    <row r="18" spans="2:62" ht="21.75" customHeight="1" x14ac:dyDescent="0.25">
      <c r="B18" s="38" t="s">
        <v>48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</row>
    <row r="19" spans="2:62" x14ac:dyDescent="0.25">
      <c r="T19" t="s">
        <v>21</v>
      </c>
      <c r="AK19" t="s">
        <v>49</v>
      </c>
    </row>
    <row r="20" spans="2:62" x14ac:dyDescent="0.25">
      <c r="B20" s="4"/>
      <c r="C20" s="4"/>
      <c r="D20" s="4"/>
      <c r="E20" s="4"/>
      <c r="F20" s="4"/>
      <c r="G20" s="4"/>
      <c r="H20" s="4"/>
      <c r="I20" s="4"/>
      <c r="J20" s="4"/>
      <c r="T20" t="s">
        <v>22</v>
      </c>
      <c r="AK20" t="s">
        <v>23</v>
      </c>
    </row>
    <row r="21" spans="2:62" x14ac:dyDescent="0.25">
      <c r="B21" s="4"/>
      <c r="C21" s="7"/>
      <c r="D21" s="7"/>
      <c r="E21" s="7"/>
      <c r="F21" s="7"/>
      <c r="G21" s="4"/>
      <c r="H21" s="4"/>
      <c r="I21" s="4"/>
      <c r="J21" s="4"/>
    </row>
    <row r="22" spans="2:62" x14ac:dyDescent="0.25">
      <c r="B22" s="4"/>
      <c r="C22" s="7"/>
      <c r="D22" s="7"/>
      <c r="E22" s="7"/>
      <c r="F22" s="7"/>
      <c r="G22" s="4"/>
      <c r="H22" s="4"/>
      <c r="I22" s="4"/>
      <c r="J22" s="4"/>
      <c r="BI22" t="s">
        <v>8</v>
      </c>
    </row>
    <row r="24" spans="2:62" x14ac:dyDescent="0.25">
      <c r="AZ24" t="s">
        <v>8</v>
      </c>
    </row>
    <row r="25" spans="2:62" x14ac:dyDescent="0.25">
      <c r="T25" s="5" t="s">
        <v>50</v>
      </c>
      <c r="AK25" s="6" t="s">
        <v>26</v>
      </c>
    </row>
    <row r="26" spans="2:62" x14ac:dyDescent="0.25">
      <c r="T26" t="s">
        <v>51</v>
      </c>
    </row>
    <row r="38" spans="2:56" ht="18.75" x14ac:dyDescent="0.3">
      <c r="B38" s="70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</row>
    <row r="39" spans="2:56" ht="18.75" x14ac:dyDescent="0.3">
      <c r="B39" s="70" t="s">
        <v>1</v>
      </c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</row>
    <row r="40" spans="2:56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2" spans="2:56" x14ac:dyDescent="0.25">
      <c r="B42" s="64" t="s">
        <v>2</v>
      </c>
      <c r="C42" s="64"/>
      <c r="D42" s="64"/>
      <c r="E42" s="64"/>
      <c r="F42" s="64"/>
      <c r="G42" s="64"/>
      <c r="H42" s="64"/>
      <c r="I42" s="64"/>
      <c r="J42" s="1" t="s">
        <v>3</v>
      </c>
      <c r="K42" s="64" t="s">
        <v>102</v>
      </c>
      <c r="L42" s="64"/>
      <c r="M42" s="64"/>
      <c r="N42" s="64"/>
      <c r="O42" s="64"/>
      <c r="P42" s="64"/>
      <c r="Q42" s="64"/>
      <c r="R42" s="64"/>
      <c r="S42" s="64"/>
      <c r="AA42" s="64" t="s">
        <v>4</v>
      </c>
      <c r="AB42" s="64"/>
      <c r="AC42" s="64"/>
      <c r="AD42" s="64"/>
      <c r="AE42" s="64"/>
      <c r="AF42" s="64"/>
      <c r="AG42" s="64"/>
      <c r="AH42" t="s">
        <v>3</v>
      </c>
      <c r="AI42" s="65">
        <v>46175</v>
      </c>
      <c r="AJ42" s="65"/>
      <c r="AK42" s="65"/>
      <c r="AL42" s="65"/>
      <c r="AM42" s="65"/>
      <c r="AN42" s="65"/>
      <c r="AO42" s="65"/>
      <c r="AP42" s="65"/>
      <c r="AQ42" s="65"/>
      <c r="AR42" s="65"/>
    </row>
    <row r="43" spans="2:56" x14ac:dyDescent="0.25">
      <c r="B43" s="64" t="s">
        <v>5</v>
      </c>
      <c r="C43" s="64"/>
      <c r="D43" s="64"/>
      <c r="E43" s="64"/>
      <c r="F43" s="64"/>
      <c r="G43" s="64"/>
      <c r="H43" s="64"/>
      <c r="I43" s="64"/>
      <c r="J43" s="1" t="s">
        <v>3</v>
      </c>
      <c r="K43" s="65">
        <v>46175</v>
      </c>
      <c r="L43" s="65"/>
      <c r="M43" s="65"/>
      <c r="N43" s="65"/>
      <c r="O43" s="65"/>
      <c r="P43" s="65"/>
      <c r="Q43" s="65"/>
      <c r="R43" s="65"/>
      <c r="S43" s="65"/>
      <c r="AA43" s="64" t="s">
        <v>6</v>
      </c>
      <c r="AB43" s="64"/>
      <c r="AC43" s="64"/>
      <c r="AD43" s="64"/>
      <c r="AE43" s="64"/>
      <c r="AF43" s="64"/>
      <c r="AG43" s="64"/>
      <c r="AH43" t="s">
        <v>3</v>
      </c>
      <c r="AI43" s="65">
        <v>46175</v>
      </c>
      <c r="AJ43" s="65"/>
      <c r="AK43" s="65"/>
      <c r="AL43" s="65"/>
      <c r="AM43" s="65"/>
      <c r="AN43" s="65"/>
      <c r="AO43" s="65"/>
      <c r="AP43" s="65"/>
      <c r="AQ43" s="65"/>
      <c r="AR43" s="65"/>
    </row>
    <row r="44" spans="2:56" x14ac:dyDescent="0.25">
      <c r="B44" s="64" t="s">
        <v>7</v>
      </c>
      <c r="C44" s="64"/>
      <c r="D44" s="64"/>
      <c r="E44" s="64"/>
      <c r="F44" s="64"/>
      <c r="G44" s="64"/>
      <c r="H44" s="64"/>
      <c r="I44" s="64"/>
      <c r="J44" s="1" t="s">
        <v>3</v>
      </c>
      <c r="K44" s="64" t="s">
        <v>34</v>
      </c>
      <c r="L44" s="64"/>
      <c r="M44" s="64"/>
      <c r="N44" s="64"/>
      <c r="O44" s="64"/>
      <c r="P44" s="64"/>
      <c r="Q44" s="64"/>
      <c r="R44" s="64"/>
      <c r="S44" s="64"/>
      <c r="T44" s="64"/>
      <c r="U44" s="64"/>
      <c r="W44" t="s">
        <v>8</v>
      </c>
    </row>
    <row r="45" spans="2:56" x14ac:dyDescent="0.25">
      <c r="J45" s="1"/>
    </row>
    <row r="46" spans="2:56" ht="27.95" customHeight="1" x14ac:dyDescent="0.25">
      <c r="B46" s="2" t="s">
        <v>9</v>
      </c>
      <c r="C46" s="36" t="s">
        <v>10</v>
      </c>
      <c r="D46" s="36"/>
      <c r="E46" s="36"/>
      <c r="F46" s="36"/>
      <c r="G46" s="36"/>
      <c r="H46" s="36"/>
      <c r="I46" s="36"/>
      <c r="J46" s="36"/>
      <c r="K46" s="36" t="s">
        <v>11</v>
      </c>
      <c r="L46" s="36"/>
      <c r="M46" s="36"/>
      <c r="N46" s="36" t="s">
        <v>12</v>
      </c>
      <c r="O46" s="36"/>
      <c r="P46" s="36"/>
      <c r="Q46" s="36"/>
      <c r="R46" s="36"/>
      <c r="S46" s="36"/>
      <c r="T46" s="36" t="s">
        <v>24</v>
      </c>
      <c r="U46" s="36"/>
      <c r="V46" s="36"/>
      <c r="W46" s="36"/>
      <c r="X46" s="36"/>
      <c r="Y46" s="36"/>
      <c r="Z46" s="36" t="s">
        <v>14</v>
      </c>
      <c r="AA46" s="36"/>
      <c r="AB46" s="36"/>
      <c r="AC46" s="36"/>
      <c r="AD46" s="36"/>
      <c r="AE46" s="36"/>
      <c r="AF46" s="36" t="s">
        <v>15</v>
      </c>
      <c r="AG46" s="36"/>
      <c r="AH46" s="36"/>
      <c r="AI46" s="36"/>
      <c r="AJ46" s="36"/>
      <c r="AK46" s="63" t="s">
        <v>16</v>
      </c>
      <c r="AL46" s="63"/>
      <c r="AM46" s="63"/>
      <c r="AN46" s="63"/>
      <c r="AO46" s="63"/>
      <c r="AP46" s="63" t="s">
        <v>17</v>
      </c>
      <c r="AQ46" s="63"/>
      <c r="AR46" s="63"/>
      <c r="AS46" s="63"/>
      <c r="AT46" s="63"/>
      <c r="AU46" s="36" t="s">
        <v>18</v>
      </c>
      <c r="AV46" s="36"/>
      <c r="AW46" s="36"/>
      <c r="AX46" s="36"/>
      <c r="AY46" s="36"/>
      <c r="AZ46" s="63" t="s">
        <v>19</v>
      </c>
      <c r="BA46" s="63"/>
      <c r="BB46" s="63"/>
      <c r="BC46" s="63"/>
      <c r="BD46" s="63"/>
    </row>
    <row r="47" spans="2:56" ht="27.95" customHeight="1" x14ac:dyDescent="0.25">
      <c r="B47" s="3" t="s">
        <v>20</v>
      </c>
      <c r="C47" s="60" t="s">
        <v>101</v>
      </c>
      <c r="D47" s="61"/>
      <c r="E47" s="61"/>
      <c r="F47" s="61"/>
      <c r="G47" s="61"/>
      <c r="H47" s="61"/>
      <c r="I47" s="61"/>
      <c r="J47" s="62"/>
      <c r="K47" s="42">
        <v>1731</v>
      </c>
      <c r="L47" s="43"/>
      <c r="M47" s="44"/>
      <c r="N47" s="51" t="s">
        <v>28</v>
      </c>
      <c r="O47" s="52"/>
      <c r="P47" s="52"/>
      <c r="Q47" s="52"/>
      <c r="R47" s="52"/>
      <c r="S47" s="53"/>
      <c r="T47" s="42" t="s">
        <v>36</v>
      </c>
      <c r="U47" s="43"/>
      <c r="V47" s="43"/>
      <c r="W47" s="43"/>
      <c r="X47" s="43"/>
      <c r="Y47" s="44"/>
      <c r="Z47" s="42" t="s">
        <v>33</v>
      </c>
      <c r="AA47" s="43"/>
      <c r="AB47" s="43"/>
      <c r="AC47" s="43"/>
      <c r="AD47" s="43"/>
      <c r="AE47" s="44"/>
      <c r="AF47" s="54">
        <v>187500</v>
      </c>
      <c r="AG47" s="55"/>
      <c r="AH47" s="55"/>
      <c r="AI47" s="55"/>
      <c r="AJ47" s="56"/>
      <c r="AK47" s="57"/>
      <c r="AL47" s="58"/>
      <c r="AM47" s="58"/>
      <c r="AN47" s="58"/>
      <c r="AO47" s="59"/>
      <c r="AP47" s="57"/>
      <c r="AQ47" s="58"/>
      <c r="AR47" s="58"/>
      <c r="AS47" s="58"/>
      <c r="AT47" s="59"/>
      <c r="AU47" s="57"/>
      <c r="AV47" s="58"/>
      <c r="AW47" s="58"/>
      <c r="AX47" s="58"/>
      <c r="AY47" s="59"/>
      <c r="AZ47" s="45">
        <f>AF47</f>
        <v>187500</v>
      </c>
      <c r="BA47" s="46"/>
      <c r="BB47" s="46"/>
      <c r="BC47" s="46"/>
      <c r="BD47" s="47"/>
    </row>
    <row r="48" spans="2:56" ht="27.95" customHeight="1" x14ac:dyDescent="0.25">
      <c r="B48" s="3" t="s">
        <v>29</v>
      </c>
      <c r="C48" s="60" t="s">
        <v>50</v>
      </c>
      <c r="D48" s="61"/>
      <c r="E48" s="61"/>
      <c r="F48" s="61"/>
      <c r="G48" s="61"/>
      <c r="H48" s="61"/>
      <c r="I48" s="61"/>
      <c r="J48" s="62"/>
      <c r="K48" s="42">
        <v>1747</v>
      </c>
      <c r="L48" s="43"/>
      <c r="M48" s="44"/>
      <c r="N48" s="51" t="s">
        <v>39</v>
      </c>
      <c r="O48" s="52"/>
      <c r="P48" s="52"/>
      <c r="Q48" s="52"/>
      <c r="R48" s="52"/>
      <c r="S48" s="53"/>
      <c r="T48" s="42" t="s">
        <v>36</v>
      </c>
      <c r="U48" s="43"/>
      <c r="V48" s="43"/>
      <c r="W48" s="43"/>
      <c r="X48" s="43"/>
      <c r="Y48" s="44"/>
      <c r="Z48" s="42" t="s">
        <v>33</v>
      </c>
      <c r="AA48" s="43"/>
      <c r="AB48" s="43"/>
      <c r="AC48" s="43"/>
      <c r="AD48" s="43"/>
      <c r="AE48" s="44"/>
      <c r="AF48" s="54">
        <v>150000</v>
      </c>
      <c r="AG48" s="55"/>
      <c r="AH48" s="55"/>
      <c r="AI48" s="55"/>
      <c r="AJ48" s="56"/>
      <c r="AK48" s="57"/>
      <c r="AL48" s="58"/>
      <c r="AM48" s="58"/>
      <c r="AN48" s="58"/>
      <c r="AO48" s="59"/>
      <c r="AP48" s="57"/>
      <c r="AQ48" s="58"/>
      <c r="AR48" s="58"/>
      <c r="AS48" s="58"/>
      <c r="AT48" s="59"/>
      <c r="AU48" s="57"/>
      <c r="AV48" s="58"/>
      <c r="AW48" s="58"/>
      <c r="AX48" s="58"/>
      <c r="AY48" s="59"/>
      <c r="AZ48" s="45">
        <f t="shared" ref="AZ48" si="1">AF48</f>
        <v>150000</v>
      </c>
      <c r="BA48" s="46"/>
      <c r="BB48" s="46"/>
      <c r="BC48" s="46"/>
      <c r="BD48" s="47"/>
    </row>
    <row r="49" spans="2:56" ht="27.95" customHeight="1" x14ac:dyDescent="0.25">
      <c r="B49" s="3"/>
      <c r="C49" s="48"/>
      <c r="D49" s="49"/>
      <c r="E49" s="49"/>
      <c r="F49" s="49"/>
      <c r="G49" s="49"/>
      <c r="H49" s="49"/>
      <c r="I49" s="49"/>
      <c r="J49" s="50"/>
      <c r="K49" s="42"/>
      <c r="L49" s="43"/>
      <c r="M49" s="44"/>
      <c r="N49" s="51"/>
      <c r="O49" s="52"/>
      <c r="P49" s="52"/>
      <c r="Q49" s="52"/>
      <c r="R49" s="52"/>
      <c r="S49" s="53"/>
      <c r="T49" s="42"/>
      <c r="U49" s="43"/>
      <c r="V49" s="43"/>
      <c r="W49" s="43"/>
      <c r="X49" s="43"/>
      <c r="Y49" s="44"/>
      <c r="Z49" s="42"/>
      <c r="AA49" s="43"/>
      <c r="AB49" s="43"/>
      <c r="AC49" s="43"/>
      <c r="AD49" s="43"/>
      <c r="AE49" s="44"/>
      <c r="AF49" s="54"/>
      <c r="AG49" s="55"/>
      <c r="AH49" s="55"/>
      <c r="AI49" s="55"/>
      <c r="AJ49" s="56"/>
      <c r="AK49" s="57"/>
      <c r="AL49" s="58"/>
      <c r="AM49" s="58"/>
      <c r="AN49" s="58"/>
      <c r="AO49" s="59"/>
      <c r="AP49" s="57"/>
      <c r="AQ49" s="58"/>
      <c r="AR49" s="58"/>
      <c r="AS49" s="58"/>
      <c r="AT49" s="59"/>
      <c r="AU49" s="57"/>
      <c r="AV49" s="58"/>
      <c r="AW49" s="58"/>
      <c r="AX49" s="58"/>
      <c r="AY49" s="59"/>
      <c r="AZ49" s="45"/>
      <c r="BA49" s="46"/>
      <c r="BB49" s="46"/>
      <c r="BC49" s="46"/>
      <c r="BD49" s="47"/>
    </row>
    <row r="50" spans="2:56" ht="27.95" customHeight="1" x14ac:dyDescent="0.25">
      <c r="B50" s="3"/>
      <c r="C50" s="60"/>
      <c r="D50" s="61"/>
      <c r="E50" s="61"/>
      <c r="F50" s="61"/>
      <c r="G50" s="61"/>
      <c r="H50" s="61"/>
      <c r="I50" s="61"/>
      <c r="J50" s="62"/>
      <c r="K50" s="42"/>
      <c r="L50" s="43"/>
      <c r="M50" s="44"/>
      <c r="N50" s="51"/>
      <c r="O50" s="52"/>
      <c r="P50" s="52"/>
      <c r="Q50" s="52"/>
      <c r="R50" s="52"/>
      <c r="S50" s="53"/>
      <c r="T50" s="42"/>
      <c r="U50" s="43"/>
      <c r="V50" s="43"/>
      <c r="W50" s="43"/>
      <c r="X50" s="43"/>
      <c r="Y50" s="44"/>
      <c r="Z50" s="42"/>
      <c r="AA50" s="43"/>
      <c r="AB50" s="43"/>
      <c r="AC50" s="43"/>
      <c r="AD50" s="43"/>
      <c r="AE50" s="44"/>
      <c r="AF50" s="54"/>
      <c r="AG50" s="55"/>
      <c r="AH50" s="55"/>
      <c r="AI50" s="55"/>
      <c r="AJ50" s="56"/>
      <c r="AK50" s="57"/>
      <c r="AL50" s="58"/>
      <c r="AM50" s="58"/>
      <c r="AN50" s="58"/>
      <c r="AO50" s="59"/>
      <c r="AP50" s="57"/>
      <c r="AQ50" s="58"/>
      <c r="AR50" s="58"/>
      <c r="AS50" s="58"/>
      <c r="AT50" s="59"/>
      <c r="AU50" s="57"/>
      <c r="AV50" s="58"/>
      <c r="AW50" s="58"/>
      <c r="AX50" s="58"/>
      <c r="AY50" s="59"/>
      <c r="AZ50" s="45"/>
      <c r="BA50" s="46"/>
      <c r="BB50" s="46"/>
      <c r="BC50" s="46"/>
      <c r="BD50" s="47"/>
    </row>
    <row r="51" spans="2:56" ht="27.95" customHeight="1" x14ac:dyDescent="0.25">
      <c r="B51" s="3"/>
      <c r="C51" s="38"/>
      <c r="D51" s="38"/>
      <c r="E51" s="38"/>
      <c r="F51" s="38"/>
      <c r="G51" s="38"/>
      <c r="H51" s="38"/>
      <c r="I51" s="38"/>
      <c r="J51" s="38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42"/>
      <c r="AA51" s="43"/>
      <c r="AB51" s="43"/>
      <c r="AC51" s="43"/>
      <c r="AD51" s="43"/>
      <c r="AE51" s="44"/>
      <c r="AF51" s="39"/>
      <c r="AG51" s="39"/>
      <c r="AH51" s="39"/>
      <c r="AI51" s="39"/>
      <c r="AJ51" s="39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5"/>
      <c r="BA51" s="46"/>
      <c r="BB51" s="46"/>
      <c r="BC51" s="46"/>
      <c r="BD51" s="47"/>
    </row>
    <row r="52" spans="2:56" ht="27.95" customHeight="1" x14ac:dyDescent="0.25">
      <c r="B52" s="3"/>
      <c r="C52" s="38"/>
      <c r="D52" s="38"/>
      <c r="E52" s="38"/>
      <c r="F52" s="38"/>
      <c r="G52" s="38"/>
      <c r="H52" s="38"/>
      <c r="I52" s="38"/>
      <c r="J52" s="38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9" t="s">
        <v>8</v>
      </c>
      <c r="AG52" s="39"/>
      <c r="AH52" s="39"/>
      <c r="AI52" s="39"/>
      <c r="AJ52" s="39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1"/>
      <c r="BA52" s="41"/>
      <c r="BB52" s="41"/>
      <c r="BC52" s="41"/>
      <c r="BD52" s="41"/>
    </row>
    <row r="53" spans="2:56" ht="27.95" customHeight="1" x14ac:dyDescent="0.25">
      <c r="B53" s="3"/>
      <c r="C53" s="38"/>
      <c r="D53" s="38"/>
      <c r="E53" s="38"/>
      <c r="F53" s="38"/>
      <c r="G53" s="38"/>
      <c r="H53" s="38"/>
      <c r="I53" s="38"/>
      <c r="J53" s="38"/>
      <c r="K53" s="36"/>
      <c r="L53" s="36"/>
      <c r="M53" s="36"/>
      <c r="N53" s="36"/>
      <c r="O53" s="36"/>
      <c r="P53" s="36"/>
      <c r="Q53" s="36"/>
      <c r="R53" s="36"/>
      <c r="S53" s="36"/>
      <c r="T53" s="36" t="s">
        <v>8</v>
      </c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9"/>
      <c r="AG53" s="39"/>
      <c r="AH53" s="39"/>
      <c r="AI53" s="39"/>
      <c r="AJ53" s="39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1"/>
      <c r="BA53" s="41"/>
      <c r="BB53" s="41"/>
      <c r="BC53" s="41"/>
      <c r="BD53" s="41"/>
    </row>
    <row r="54" spans="2:56" ht="27.95" customHeight="1" x14ac:dyDescent="0.25">
      <c r="B54" s="3"/>
      <c r="C54" s="38"/>
      <c r="D54" s="38"/>
      <c r="E54" s="38"/>
      <c r="F54" s="38"/>
      <c r="G54" s="38"/>
      <c r="H54" s="38"/>
      <c r="I54" s="38"/>
      <c r="J54" s="38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9"/>
      <c r="AG54" s="39"/>
      <c r="AH54" s="39"/>
      <c r="AI54" s="39"/>
      <c r="AJ54" s="39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1"/>
      <c r="BA54" s="41"/>
      <c r="BB54" s="41"/>
      <c r="BC54" s="41"/>
      <c r="BD54" s="41"/>
    </row>
    <row r="55" spans="2:56" ht="27.95" customHeight="1" x14ac:dyDescent="0.25">
      <c r="B55" s="36" t="s">
        <v>25</v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7">
        <f>SUM(AZ47:AZ54)</f>
        <v>337500</v>
      </c>
      <c r="BA55" s="37"/>
      <c r="BB55" s="37"/>
      <c r="BC55" s="37"/>
      <c r="BD55" s="37"/>
    </row>
    <row r="56" spans="2:56" ht="27.95" customHeight="1" x14ac:dyDescent="0.25">
      <c r="B56" s="38" t="s">
        <v>103</v>
      </c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</row>
    <row r="57" spans="2:56" x14ac:dyDescent="0.25">
      <c r="T57" t="s">
        <v>21</v>
      </c>
      <c r="AK57" t="s">
        <v>104</v>
      </c>
    </row>
    <row r="58" spans="2:56" x14ac:dyDescent="0.25">
      <c r="B58" s="4"/>
      <c r="C58" s="4"/>
      <c r="D58" s="4"/>
      <c r="E58" s="4"/>
      <c r="F58" s="4"/>
      <c r="G58" s="4"/>
      <c r="H58" s="4"/>
      <c r="I58" s="4"/>
      <c r="J58" s="4"/>
      <c r="T58" t="s">
        <v>22</v>
      </c>
      <c r="AK58" t="s">
        <v>23</v>
      </c>
      <c r="BB58" t="s">
        <v>8</v>
      </c>
    </row>
    <row r="59" spans="2:56" x14ac:dyDescent="0.25">
      <c r="B59" s="4"/>
      <c r="C59" s="4"/>
      <c r="D59" s="4"/>
      <c r="E59" s="4"/>
      <c r="F59" s="4"/>
      <c r="G59" s="4"/>
      <c r="H59" s="4"/>
      <c r="I59" s="4"/>
      <c r="J59" s="4"/>
    </row>
    <row r="60" spans="2:56" x14ac:dyDescent="0.25">
      <c r="B60" s="4"/>
      <c r="C60" s="4"/>
      <c r="D60" s="4"/>
      <c r="E60" s="4"/>
      <c r="F60" s="4"/>
      <c r="G60" s="4"/>
      <c r="H60" s="4"/>
      <c r="I60" s="4"/>
      <c r="J60" s="4"/>
      <c r="Y60" t="s">
        <v>8</v>
      </c>
      <c r="AR60" t="s">
        <v>8</v>
      </c>
    </row>
    <row r="62" spans="2:56" x14ac:dyDescent="0.25">
      <c r="T62" s="5" t="s">
        <v>54</v>
      </c>
      <c r="AK62" s="5" t="str">
        <f>C47</f>
        <v>Benny Saputra</v>
      </c>
    </row>
    <row r="63" spans="2:56" x14ac:dyDescent="0.25">
      <c r="T63" t="s">
        <v>105</v>
      </c>
    </row>
    <row r="71" spans="2:63" ht="18.75" x14ac:dyDescent="0.3">
      <c r="B71" s="70" t="s">
        <v>0</v>
      </c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</row>
    <row r="72" spans="2:63" ht="18.75" x14ac:dyDescent="0.3">
      <c r="B72" s="70" t="s">
        <v>1</v>
      </c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K72" t="s">
        <v>8</v>
      </c>
    </row>
    <row r="73" spans="2:63" ht="18.75" x14ac:dyDescent="0.3">
      <c r="B73" s="8" t="s">
        <v>8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</row>
    <row r="74" spans="2:63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2:63" x14ac:dyDescent="0.25">
      <c r="B75" s="64" t="s">
        <v>2</v>
      </c>
      <c r="C75" s="64"/>
      <c r="D75" s="64"/>
      <c r="E75" s="64"/>
      <c r="F75" s="64"/>
      <c r="G75" s="64"/>
      <c r="H75" s="64"/>
      <c r="I75" s="64"/>
      <c r="J75" s="1" t="s">
        <v>3</v>
      </c>
      <c r="K75" s="64" t="s">
        <v>55</v>
      </c>
      <c r="L75" s="64"/>
      <c r="M75" s="64"/>
      <c r="N75" s="64"/>
      <c r="O75" s="64"/>
      <c r="P75" s="64"/>
      <c r="Q75" s="64"/>
      <c r="R75" s="64"/>
      <c r="S75" s="64"/>
      <c r="AA75" s="64" t="s">
        <v>4</v>
      </c>
      <c r="AB75" s="64"/>
      <c r="AC75" s="64"/>
      <c r="AD75" s="64"/>
      <c r="AE75" s="64"/>
      <c r="AF75" s="64"/>
      <c r="AG75" s="64"/>
      <c r="AH75" t="s">
        <v>3</v>
      </c>
      <c r="AI75" s="65">
        <v>45925</v>
      </c>
      <c r="AJ75" s="65"/>
      <c r="AK75" s="65"/>
      <c r="AL75" s="65"/>
      <c r="AM75" s="65"/>
      <c r="AN75" s="65"/>
      <c r="AO75" s="65"/>
      <c r="AP75" s="65"/>
      <c r="AQ75" s="65"/>
      <c r="AR75" s="65"/>
    </row>
    <row r="76" spans="2:63" x14ac:dyDescent="0.25">
      <c r="B76" s="64" t="s">
        <v>5</v>
      </c>
      <c r="C76" s="64"/>
      <c r="D76" s="64"/>
      <c r="E76" s="64"/>
      <c r="F76" s="64"/>
      <c r="G76" s="64"/>
      <c r="H76" s="64"/>
      <c r="I76" s="64"/>
      <c r="J76" s="1" t="s">
        <v>3</v>
      </c>
      <c r="K76" s="65">
        <v>45925</v>
      </c>
      <c r="L76" s="65"/>
      <c r="M76" s="65"/>
      <c r="N76" s="65"/>
      <c r="O76" s="65"/>
      <c r="P76" s="65"/>
      <c r="Q76" s="65"/>
      <c r="R76" s="65"/>
      <c r="S76" s="65"/>
      <c r="AA76" s="64" t="s">
        <v>6</v>
      </c>
      <c r="AB76" s="64"/>
      <c r="AC76" s="64"/>
      <c r="AD76" s="64"/>
      <c r="AE76" s="64"/>
      <c r="AF76" s="64"/>
      <c r="AG76" s="64"/>
      <c r="AH76" t="s">
        <v>3</v>
      </c>
      <c r="AI76" s="65">
        <v>45925</v>
      </c>
      <c r="AJ76" s="65"/>
      <c r="AK76" s="65"/>
      <c r="AL76" s="65"/>
      <c r="AM76" s="65"/>
      <c r="AN76" s="65"/>
      <c r="AO76" s="65"/>
      <c r="AP76" s="65"/>
      <c r="AQ76" s="65"/>
      <c r="AR76" s="65"/>
    </row>
    <row r="77" spans="2:63" x14ac:dyDescent="0.25">
      <c r="B77" s="64" t="s">
        <v>7</v>
      </c>
      <c r="C77" s="64"/>
      <c r="D77" s="64"/>
      <c r="E77" s="64"/>
      <c r="F77" s="64"/>
      <c r="G77" s="64"/>
      <c r="H77" s="64"/>
      <c r="I77" s="64"/>
      <c r="J77" s="1" t="s">
        <v>3</v>
      </c>
      <c r="K77" s="64" t="s">
        <v>34</v>
      </c>
      <c r="L77" s="64"/>
      <c r="M77" s="64"/>
      <c r="N77" s="64"/>
      <c r="O77" s="64"/>
      <c r="P77" s="64"/>
      <c r="Q77" s="64"/>
      <c r="R77" s="64"/>
      <c r="S77" s="64"/>
      <c r="T77" s="64"/>
      <c r="U77" s="64"/>
      <c r="W77" t="s">
        <v>8</v>
      </c>
    </row>
    <row r="78" spans="2:63" x14ac:dyDescent="0.25">
      <c r="J78" s="1"/>
    </row>
    <row r="79" spans="2:63" ht="30" customHeight="1" x14ac:dyDescent="0.25">
      <c r="B79" s="2" t="s">
        <v>9</v>
      </c>
      <c r="C79" s="36" t="s">
        <v>10</v>
      </c>
      <c r="D79" s="36"/>
      <c r="E79" s="36"/>
      <c r="F79" s="36"/>
      <c r="G79" s="36"/>
      <c r="H79" s="36"/>
      <c r="I79" s="36"/>
      <c r="J79" s="36"/>
      <c r="K79" s="36" t="s">
        <v>11</v>
      </c>
      <c r="L79" s="36"/>
      <c r="M79" s="36"/>
      <c r="N79" s="36" t="s">
        <v>12</v>
      </c>
      <c r="O79" s="36"/>
      <c r="P79" s="36"/>
      <c r="Q79" s="36"/>
      <c r="R79" s="36"/>
      <c r="S79" s="36"/>
      <c r="T79" s="36" t="s">
        <v>24</v>
      </c>
      <c r="U79" s="36"/>
      <c r="V79" s="36"/>
      <c r="W79" s="36"/>
      <c r="X79" s="36"/>
      <c r="Y79" s="36"/>
      <c r="Z79" s="36" t="s">
        <v>14</v>
      </c>
      <c r="AA79" s="36"/>
      <c r="AB79" s="36"/>
      <c r="AC79" s="36"/>
      <c r="AD79" s="36"/>
      <c r="AE79" s="36"/>
      <c r="AF79" s="36" t="s">
        <v>15</v>
      </c>
      <c r="AG79" s="36"/>
      <c r="AH79" s="36"/>
      <c r="AI79" s="36"/>
      <c r="AJ79" s="36"/>
      <c r="AK79" s="63" t="s">
        <v>16</v>
      </c>
      <c r="AL79" s="63"/>
      <c r="AM79" s="63"/>
      <c r="AN79" s="63"/>
      <c r="AO79" s="63"/>
      <c r="AP79" s="63" t="s">
        <v>17</v>
      </c>
      <c r="AQ79" s="63"/>
      <c r="AR79" s="63"/>
      <c r="AS79" s="63"/>
      <c r="AT79" s="63"/>
      <c r="AU79" s="36" t="s">
        <v>18</v>
      </c>
      <c r="AV79" s="36"/>
      <c r="AW79" s="36"/>
      <c r="AX79" s="36"/>
      <c r="AY79" s="36"/>
      <c r="AZ79" s="63" t="s">
        <v>19</v>
      </c>
      <c r="BA79" s="63"/>
      <c r="BB79" s="63"/>
      <c r="BC79" s="63"/>
      <c r="BD79" s="63"/>
    </row>
    <row r="80" spans="2:63" ht="30" customHeight="1" x14ac:dyDescent="0.25">
      <c r="B80" s="3" t="s">
        <v>20</v>
      </c>
      <c r="C80" s="60" t="s">
        <v>52</v>
      </c>
      <c r="D80" s="61"/>
      <c r="E80" s="61"/>
      <c r="F80" s="61"/>
      <c r="G80" s="61"/>
      <c r="H80" s="61"/>
      <c r="I80" s="61"/>
      <c r="J80" s="62"/>
      <c r="K80" s="36">
        <v>1918</v>
      </c>
      <c r="L80" s="36"/>
      <c r="M80" s="36"/>
      <c r="N80" s="36" t="s">
        <v>40</v>
      </c>
      <c r="O80" s="36"/>
      <c r="P80" s="36"/>
      <c r="Q80" s="36"/>
      <c r="R80" s="36"/>
      <c r="S80" s="36"/>
      <c r="T80" s="36" t="s">
        <v>36</v>
      </c>
      <c r="U80" s="36"/>
      <c r="V80" s="36"/>
      <c r="W80" s="36"/>
      <c r="X80" s="36"/>
      <c r="Y80" s="36"/>
      <c r="Z80" s="36" t="s">
        <v>32</v>
      </c>
      <c r="AA80" s="36"/>
      <c r="AB80" s="36"/>
      <c r="AC80" s="36"/>
      <c r="AD80" s="36"/>
      <c r="AE80" s="36"/>
      <c r="AF80" s="39">
        <v>112500</v>
      </c>
      <c r="AG80" s="39"/>
      <c r="AH80" s="39"/>
      <c r="AI80" s="39"/>
      <c r="AJ80" s="39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1">
        <f>AF80</f>
        <v>112500</v>
      </c>
      <c r="BA80" s="41"/>
      <c r="BB80" s="41"/>
      <c r="BC80" s="41"/>
      <c r="BD80" s="41"/>
    </row>
    <row r="81" spans="2:56" ht="30" customHeight="1" x14ac:dyDescent="0.25">
      <c r="B81" s="3"/>
      <c r="C81" s="38"/>
      <c r="D81" s="38"/>
      <c r="E81" s="38"/>
      <c r="F81" s="38"/>
      <c r="G81" s="38"/>
      <c r="H81" s="38"/>
      <c r="I81" s="38"/>
      <c r="J81" s="38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54"/>
      <c r="AG81" s="55"/>
      <c r="AH81" s="55"/>
      <c r="AI81" s="55"/>
      <c r="AJ81" s="56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1"/>
      <c r="BA81" s="41"/>
      <c r="BB81" s="41"/>
      <c r="BC81" s="41"/>
      <c r="BD81" s="41"/>
    </row>
    <row r="82" spans="2:56" ht="30" customHeight="1" x14ac:dyDescent="0.25">
      <c r="B82" s="3"/>
      <c r="C82" s="38"/>
      <c r="D82" s="38"/>
      <c r="E82" s="38"/>
      <c r="F82" s="38"/>
      <c r="G82" s="38"/>
      <c r="H82" s="38"/>
      <c r="I82" s="38"/>
      <c r="J82" s="38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9"/>
      <c r="AG82" s="39"/>
      <c r="AH82" s="39"/>
      <c r="AI82" s="39"/>
      <c r="AJ82" s="39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1"/>
      <c r="BA82" s="41"/>
      <c r="BB82" s="41"/>
      <c r="BC82" s="41"/>
      <c r="BD82" s="41"/>
    </row>
    <row r="83" spans="2:56" ht="30" customHeight="1" x14ac:dyDescent="0.25">
      <c r="B83" s="3"/>
      <c r="C83" s="38"/>
      <c r="D83" s="38"/>
      <c r="E83" s="38"/>
      <c r="F83" s="38"/>
      <c r="G83" s="38"/>
      <c r="H83" s="38"/>
      <c r="I83" s="38"/>
      <c r="J83" s="38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9"/>
      <c r="AG83" s="39"/>
      <c r="AH83" s="39"/>
      <c r="AI83" s="39"/>
      <c r="AJ83" s="39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1"/>
      <c r="BA83" s="41"/>
      <c r="BB83" s="41"/>
      <c r="BC83" s="41"/>
      <c r="BD83" s="41"/>
    </row>
    <row r="84" spans="2:56" ht="30" customHeight="1" x14ac:dyDescent="0.25">
      <c r="B84" s="3"/>
      <c r="C84" s="38"/>
      <c r="D84" s="38"/>
      <c r="E84" s="38"/>
      <c r="F84" s="38"/>
      <c r="G84" s="38"/>
      <c r="H84" s="38"/>
      <c r="I84" s="38"/>
      <c r="J84" s="38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9"/>
      <c r="AG84" s="39"/>
      <c r="AH84" s="39"/>
      <c r="AI84" s="39"/>
      <c r="AJ84" s="39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1"/>
      <c r="BA84" s="41"/>
      <c r="BB84" s="41"/>
      <c r="BC84" s="41"/>
      <c r="BD84" s="41"/>
    </row>
    <row r="85" spans="2:56" ht="30" customHeight="1" x14ac:dyDescent="0.25">
      <c r="B85" s="3"/>
      <c r="C85" s="38"/>
      <c r="D85" s="38"/>
      <c r="E85" s="38"/>
      <c r="F85" s="38"/>
      <c r="G85" s="38"/>
      <c r="H85" s="38"/>
      <c r="I85" s="38"/>
      <c r="J85" s="38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9"/>
      <c r="AG85" s="39"/>
      <c r="AH85" s="39"/>
      <c r="AI85" s="39"/>
      <c r="AJ85" s="39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1"/>
      <c r="BA85" s="41"/>
      <c r="BB85" s="41"/>
      <c r="BC85" s="41"/>
      <c r="BD85" s="41"/>
    </row>
    <row r="86" spans="2:56" ht="30" customHeight="1" x14ac:dyDescent="0.25">
      <c r="B86" s="36" t="s">
        <v>25</v>
      </c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7">
        <f>SUM(AZ80:AZ85)</f>
        <v>112500</v>
      </c>
      <c r="BA86" s="37"/>
      <c r="BB86" s="37"/>
      <c r="BC86" s="37"/>
      <c r="BD86" s="37"/>
    </row>
    <row r="87" spans="2:56" ht="30" customHeight="1" x14ac:dyDescent="0.25">
      <c r="B87" s="38" t="s">
        <v>56</v>
      </c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</row>
    <row r="88" spans="2:56" x14ac:dyDescent="0.25">
      <c r="T88" t="s">
        <v>21</v>
      </c>
      <c r="AK88" t="s">
        <v>57</v>
      </c>
    </row>
    <row r="89" spans="2:56" x14ac:dyDescent="0.25">
      <c r="B89" s="4"/>
      <c r="C89" s="4"/>
      <c r="D89" s="4"/>
      <c r="E89" s="4"/>
      <c r="F89" s="4"/>
      <c r="G89" s="4"/>
      <c r="H89" s="4"/>
      <c r="I89" s="4"/>
      <c r="J89" s="4"/>
      <c r="T89" t="s">
        <v>22</v>
      </c>
      <c r="AK89" t="s">
        <v>23</v>
      </c>
      <c r="BB89" t="s">
        <v>8</v>
      </c>
    </row>
    <row r="90" spans="2:56" x14ac:dyDescent="0.25">
      <c r="B90" s="4"/>
      <c r="C90" s="4"/>
      <c r="D90" s="4"/>
      <c r="E90" s="4"/>
      <c r="F90" s="4"/>
      <c r="G90" s="4"/>
      <c r="H90" s="4"/>
      <c r="I90" s="4"/>
      <c r="J90" s="4"/>
    </row>
    <row r="91" spans="2:56" x14ac:dyDescent="0.25">
      <c r="B91" s="4"/>
      <c r="C91" s="4"/>
      <c r="D91" s="4"/>
      <c r="E91" s="4"/>
      <c r="F91" s="4"/>
      <c r="G91" s="4"/>
      <c r="H91" s="4"/>
      <c r="I91" s="4"/>
      <c r="J91" s="4"/>
    </row>
    <row r="92" spans="2:56" x14ac:dyDescent="0.25">
      <c r="B92" s="4"/>
      <c r="C92" s="4"/>
      <c r="D92" s="4"/>
      <c r="E92" s="4"/>
      <c r="F92" s="4"/>
      <c r="G92" s="4"/>
      <c r="H92" s="4"/>
      <c r="I92" s="4"/>
      <c r="J92" s="4"/>
    </row>
    <row r="93" spans="2:56" x14ac:dyDescent="0.25">
      <c r="B93" s="4"/>
      <c r="C93" s="4"/>
      <c r="D93" s="4"/>
      <c r="E93" s="4"/>
      <c r="F93" s="4"/>
      <c r="G93" s="4"/>
      <c r="H93" s="4"/>
      <c r="I93" s="4"/>
      <c r="J93" s="4"/>
      <c r="T93" s="5" t="s">
        <v>101</v>
      </c>
      <c r="Y93" t="s">
        <v>8</v>
      </c>
      <c r="AK93" s="5" t="str">
        <f>C80</f>
        <v>Iman Nurzaman</v>
      </c>
      <c r="AR93" t="s">
        <v>8</v>
      </c>
    </row>
    <row r="94" spans="2:56" x14ac:dyDescent="0.25">
      <c r="B94" s="4"/>
      <c r="C94" s="4"/>
      <c r="D94" s="4"/>
      <c r="E94" s="4"/>
      <c r="F94" s="4"/>
      <c r="G94" s="4"/>
      <c r="H94" s="4"/>
      <c r="I94" s="4"/>
      <c r="J94" s="4"/>
      <c r="T94" t="s">
        <v>27</v>
      </c>
      <c r="AK94" s="5"/>
    </row>
    <row r="95" spans="2:56" x14ac:dyDescent="0.25">
      <c r="B95" s="4"/>
      <c r="C95" s="4"/>
      <c r="D95" s="4"/>
      <c r="E95" s="4"/>
      <c r="F95" s="4"/>
      <c r="G95" s="4"/>
      <c r="H95" s="4"/>
      <c r="I95" s="4"/>
      <c r="J95" s="4"/>
      <c r="AK95" s="5"/>
    </row>
    <row r="96" spans="2:56" x14ac:dyDescent="0.25">
      <c r="B96" s="4"/>
      <c r="C96" s="4"/>
      <c r="D96" s="4"/>
      <c r="E96" s="4"/>
      <c r="F96" s="4"/>
      <c r="G96" s="4"/>
      <c r="H96" s="4"/>
      <c r="I96" s="4"/>
      <c r="J96" s="4"/>
      <c r="AK96" s="5"/>
    </row>
    <row r="97" spans="2:63" x14ac:dyDescent="0.25">
      <c r="B97" s="4"/>
      <c r="C97" s="4"/>
      <c r="D97" s="4"/>
      <c r="E97" s="4"/>
      <c r="F97" s="4"/>
      <c r="G97" s="4"/>
      <c r="H97" s="4"/>
      <c r="I97" s="4"/>
      <c r="J97" s="4"/>
      <c r="AK97" s="5"/>
    </row>
    <row r="98" spans="2:63" ht="18.75" x14ac:dyDescent="0.3"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70"/>
      <c r="BD98" s="70"/>
    </row>
    <row r="99" spans="2:63" ht="21" x14ac:dyDescent="0.35">
      <c r="B99" s="83" t="s">
        <v>0</v>
      </c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</row>
    <row r="100" spans="2:63" ht="21" x14ac:dyDescent="0.35">
      <c r="B100" s="83" t="s">
        <v>1</v>
      </c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K100" t="s">
        <v>8</v>
      </c>
    </row>
    <row r="101" spans="2:63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2:63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2:63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5" spans="2:63" ht="15.75" x14ac:dyDescent="0.25">
      <c r="B105" s="27" t="s">
        <v>2</v>
      </c>
      <c r="C105" s="27"/>
      <c r="D105" s="27"/>
      <c r="E105" s="27"/>
      <c r="F105" s="27"/>
      <c r="G105" s="27"/>
      <c r="H105" s="27"/>
      <c r="I105" s="27"/>
      <c r="J105" s="12" t="s">
        <v>3</v>
      </c>
      <c r="K105" s="27" t="s">
        <v>113</v>
      </c>
      <c r="L105" s="27"/>
      <c r="M105" s="27"/>
      <c r="N105" s="27"/>
      <c r="O105" s="27"/>
      <c r="P105" s="27"/>
      <c r="Q105" s="27"/>
      <c r="R105" s="27"/>
      <c r="S105" s="27"/>
      <c r="T105" s="13"/>
      <c r="U105" s="13"/>
      <c r="V105" s="13"/>
      <c r="W105" s="13"/>
      <c r="X105" s="13"/>
      <c r="Y105" s="13"/>
      <c r="Z105" s="13"/>
      <c r="AA105" s="27" t="s">
        <v>4</v>
      </c>
      <c r="AB105" s="27"/>
      <c r="AC105" s="27"/>
      <c r="AD105" s="27"/>
      <c r="AE105" s="27"/>
      <c r="AF105" s="27"/>
      <c r="AG105" s="27"/>
      <c r="AH105" s="13" t="s">
        <v>3</v>
      </c>
      <c r="AI105" s="28">
        <v>46254</v>
      </c>
      <c r="AJ105" s="28"/>
      <c r="AK105" s="28"/>
      <c r="AL105" s="28"/>
      <c r="AM105" s="28"/>
      <c r="AN105" s="28"/>
      <c r="AO105" s="28"/>
      <c r="AP105" s="28"/>
      <c r="AQ105" s="28"/>
      <c r="AR105" s="28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</row>
    <row r="106" spans="2:63" ht="20.100000000000001" customHeight="1" x14ac:dyDescent="0.25">
      <c r="B106" s="27" t="s">
        <v>5</v>
      </c>
      <c r="C106" s="27"/>
      <c r="D106" s="27"/>
      <c r="E106" s="27"/>
      <c r="F106" s="27"/>
      <c r="G106" s="27"/>
      <c r="H106" s="27"/>
      <c r="I106" s="27"/>
      <c r="J106" s="12" t="s">
        <v>3</v>
      </c>
      <c r="K106" s="28">
        <v>46254</v>
      </c>
      <c r="L106" s="28"/>
      <c r="M106" s="28"/>
      <c r="N106" s="28"/>
      <c r="O106" s="28"/>
      <c r="P106" s="28"/>
      <c r="Q106" s="28"/>
      <c r="R106" s="28"/>
      <c r="S106" s="28"/>
      <c r="T106" s="13"/>
      <c r="U106" s="13"/>
      <c r="V106" s="13"/>
      <c r="W106" s="13"/>
      <c r="X106" s="13"/>
      <c r="Y106" s="13"/>
      <c r="Z106" s="13"/>
      <c r="AA106" s="27" t="s">
        <v>6</v>
      </c>
      <c r="AB106" s="27"/>
      <c r="AC106" s="27"/>
      <c r="AD106" s="27"/>
      <c r="AE106" s="27"/>
      <c r="AF106" s="27"/>
      <c r="AG106" s="27"/>
      <c r="AH106" s="13" t="s">
        <v>3</v>
      </c>
      <c r="AI106" s="28">
        <v>46254</v>
      </c>
      <c r="AJ106" s="28"/>
      <c r="AK106" s="28"/>
      <c r="AL106" s="28"/>
      <c r="AM106" s="28"/>
      <c r="AN106" s="28"/>
      <c r="AO106" s="28"/>
      <c r="AP106" s="28"/>
      <c r="AQ106" s="28"/>
      <c r="AR106" s="28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</row>
    <row r="107" spans="2:63" ht="20.100000000000001" customHeight="1" x14ac:dyDescent="0.25">
      <c r="B107" s="27" t="s">
        <v>7</v>
      </c>
      <c r="C107" s="27"/>
      <c r="D107" s="27"/>
      <c r="E107" s="27"/>
      <c r="F107" s="27"/>
      <c r="G107" s="27"/>
      <c r="H107" s="27"/>
      <c r="I107" s="27"/>
      <c r="J107" s="12" t="s">
        <v>3</v>
      </c>
      <c r="K107" s="27" t="s">
        <v>38</v>
      </c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13"/>
      <c r="W107" s="13" t="s">
        <v>8</v>
      </c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</row>
    <row r="108" spans="2:63" ht="20.100000000000001" customHeight="1" x14ac:dyDescent="0.25">
      <c r="B108" s="13"/>
      <c r="C108" s="13"/>
      <c r="D108" s="13"/>
      <c r="E108" s="13"/>
      <c r="F108" s="13"/>
      <c r="G108" s="13"/>
      <c r="H108" s="13"/>
      <c r="I108" s="13"/>
      <c r="J108" s="12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</row>
    <row r="109" spans="2:63" ht="30" customHeight="1" x14ac:dyDescent="0.25">
      <c r="B109" s="14" t="s">
        <v>9</v>
      </c>
      <c r="C109" s="18" t="s">
        <v>10</v>
      </c>
      <c r="D109" s="19"/>
      <c r="E109" s="19"/>
      <c r="F109" s="19"/>
      <c r="G109" s="19"/>
      <c r="H109" s="19"/>
      <c r="I109" s="19"/>
      <c r="J109" s="20"/>
      <c r="K109" s="18" t="s">
        <v>11</v>
      </c>
      <c r="L109" s="19"/>
      <c r="M109" s="20"/>
      <c r="N109" s="18" t="s">
        <v>12</v>
      </c>
      <c r="O109" s="19"/>
      <c r="P109" s="19"/>
      <c r="Q109" s="19"/>
      <c r="R109" s="19"/>
      <c r="S109" s="20"/>
      <c r="T109" s="18" t="s">
        <v>24</v>
      </c>
      <c r="U109" s="19"/>
      <c r="V109" s="19"/>
      <c r="W109" s="19"/>
      <c r="X109" s="19"/>
      <c r="Y109" s="20"/>
      <c r="Z109" s="18" t="s">
        <v>14</v>
      </c>
      <c r="AA109" s="19"/>
      <c r="AB109" s="19"/>
      <c r="AC109" s="19"/>
      <c r="AD109" s="19"/>
      <c r="AE109" s="20"/>
      <c r="AF109" s="18" t="s">
        <v>15</v>
      </c>
      <c r="AG109" s="19"/>
      <c r="AH109" s="19"/>
      <c r="AI109" s="19"/>
      <c r="AJ109" s="20"/>
      <c r="AK109" s="29" t="s">
        <v>16</v>
      </c>
      <c r="AL109" s="29"/>
      <c r="AM109" s="29"/>
      <c r="AN109" s="29"/>
      <c r="AO109" s="29"/>
      <c r="AP109" s="30" t="s">
        <v>17</v>
      </c>
      <c r="AQ109" s="31"/>
      <c r="AR109" s="31"/>
      <c r="AS109" s="31"/>
      <c r="AT109" s="32"/>
      <c r="AU109" s="18" t="s">
        <v>18</v>
      </c>
      <c r="AV109" s="19"/>
      <c r="AW109" s="19"/>
      <c r="AX109" s="19"/>
      <c r="AY109" s="20"/>
      <c r="AZ109" s="30" t="s">
        <v>19</v>
      </c>
      <c r="BA109" s="31"/>
      <c r="BB109" s="31"/>
      <c r="BC109" s="31"/>
      <c r="BD109" s="32"/>
    </row>
    <row r="110" spans="2:63" ht="30" customHeight="1" x14ac:dyDescent="0.25">
      <c r="B110" s="15" t="s">
        <v>20</v>
      </c>
      <c r="C110" s="24" t="s">
        <v>101</v>
      </c>
      <c r="D110" s="25"/>
      <c r="E110" s="25"/>
      <c r="F110" s="25"/>
      <c r="G110" s="25"/>
      <c r="H110" s="25"/>
      <c r="I110" s="25"/>
      <c r="J110" s="26"/>
      <c r="K110" s="18">
        <v>1731</v>
      </c>
      <c r="L110" s="19"/>
      <c r="M110" s="20"/>
      <c r="N110" s="30" t="s">
        <v>28</v>
      </c>
      <c r="O110" s="31"/>
      <c r="P110" s="31"/>
      <c r="Q110" s="31"/>
      <c r="R110" s="31"/>
      <c r="S110" s="32"/>
      <c r="T110" s="18" t="s">
        <v>36</v>
      </c>
      <c r="U110" s="19"/>
      <c r="V110" s="19"/>
      <c r="W110" s="19"/>
      <c r="X110" s="19"/>
      <c r="Y110" s="20"/>
      <c r="Z110" s="18" t="s">
        <v>33</v>
      </c>
      <c r="AA110" s="19"/>
      <c r="AB110" s="19"/>
      <c r="AC110" s="19"/>
      <c r="AD110" s="19"/>
      <c r="AE110" s="20"/>
      <c r="AF110" s="33">
        <v>125000</v>
      </c>
      <c r="AG110" s="34"/>
      <c r="AH110" s="34"/>
      <c r="AI110" s="34"/>
      <c r="AJ110" s="35"/>
      <c r="AK110" s="71"/>
      <c r="AL110" s="72"/>
      <c r="AM110" s="72"/>
      <c r="AN110" s="72"/>
      <c r="AO110" s="73"/>
      <c r="AP110" s="71"/>
      <c r="AQ110" s="72"/>
      <c r="AR110" s="72"/>
      <c r="AS110" s="72"/>
      <c r="AT110" s="73"/>
      <c r="AU110" s="71"/>
      <c r="AV110" s="72"/>
      <c r="AW110" s="72"/>
      <c r="AX110" s="72"/>
      <c r="AY110" s="73"/>
      <c r="AZ110" s="74">
        <f>AF110</f>
        <v>125000</v>
      </c>
      <c r="BA110" s="75"/>
      <c r="BB110" s="75"/>
      <c r="BC110" s="75"/>
      <c r="BD110" s="76"/>
    </row>
    <row r="111" spans="2:63" ht="27.95" customHeight="1" x14ac:dyDescent="0.25">
      <c r="B111" s="15" t="s">
        <v>29</v>
      </c>
      <c r="C111" s="24" t="s">
        <v>114</v>
      </c>
      <c r="D111" s="25"/>
      <c r="E111" s="25"/>
      <c r="F111" s="25"/>
      <c r="G111" s="25"/>
      <c r="H111" s="25"/>
      <c r="I111" s="25"/>
      <c r="J111" s="26"/>
      <c r="K111" s="18">
        <v>1955</v>
      </c>
      <c r="L111" s="19"/>
      <c r="M111" s="20"/>
      <c r="N111" s="30" t="s">
        <v>40</v>
      </c>
      <c r="O111" s="31"/>
      <c r="P111" s="31"/>
      <c r="Q111" s="31"/>
      <c r="R111" s="31"/>
      <c r="S111" s="32"/>
      <c r="T111" s="18" t="s">
        <v>36</v>
      </c>
      <c r="U111" s="19"/>
      <c r="V111" s="19"/>
      <c r="W111" s="19"/>
      <c r="X111" s="19"/>
      <c r="Y111" s="20"/>
      <c r="Z111" s="18" t="s">
        <v>33</v>
      </c>
      <c r="AA111" s="19"/>
      <c r="AB111" s="19"/>
      <c r="AC111" s="19"/>
      <c r="AD111" s="19"/>
      <c r="AE111" s="20"/>
      <c r="AF111" s="33">
        <v>75000</v>
      </c>
      <c r="AG111" s="34"/>
      <c r="AH111" s="34"/>
      <c r="AI111" s="34"/>
      <c r="AJ111" s="35"/>
      <c r="AK111" s="71"/>
      <c r="AL111" s="72"/>
      <c r="AM111" s="72"/>
      <c r="AN111" s="72"/>
      <c r="AO111" s="73"/>
      <c r="AP111" s="71"/>
      <c r="AQ111" s="72"/>
      <c r="AR111" s="72"/>
      <c r="AS111" s="72"/>
      <c r="AT111" s="73"/>
      <c r="AU111" s="71"/>
      <c r="AV111" s="72"/>
      <c r="AW111" s="72"/>
      <c r="AX111" s="72"/>
      <c r="AY111" s="73"/>
      <c r="AZ111" s="74">
        <f>AF111</f>
        <v>75000</v>
      </c>
      <c r="BA111" s="75"/>
      <c r="BB111" s="75"/>
      <c r="BC111" s="75"/>
      <c r="BD111" s="76"/>
      <c r="BI111" t="s">
        <v>8</v>
      </c>
    </row>
    <row r="112" spans="2:63" ht="27.95" customHeight="1" x14ac:dyDescent="0.25">
      <c r="B112" s="15"/>
      <c r="C112" s="77"/>
      <c r="D112" s="78"/>
      <c r="E112" s="78"/>
      <c r="F112" s="78"/>
      <c r="G112" s="78"/>
      <c r="H112" s="78"/>
      <c r="I112" s="78"/>
      <c r="J112" s="79"/>
      <c r="K112" s="18"/>
      <c r="L112" s="19"/>
      <c r="M112" s="20"/>
      <c r="N112" s="30"/>
      <c r="O112" s="31"/>
      <c r="P112" s="31"/>
      <c r="Q112" s="31"/>
      <c r="R112" s="31"/>
      <c r="S112" s="32"/>
      <c r="T112" s="18"/>
      <c r="U112" s="19"/>
      <c r="V112" s="19"/>
      <c r="W112" s="19"/>
      <c r="X112" s="19"/>
      <c r="Y112" s="20"/>
      <c r="Z112" s="18"/>
      <c r="AA112" s="19"/>
      <c r="AB112" s="19"/>
      <c r="AC112" s="19"/>
      <c r="AD112" s="19"/>
      <c r="AE112" s="20"/>
      <c r="AF112" s="33"/>
      <c r="AG112" s="34"/>
      <c r="AH112" s="34"/>
      <c r="AI112" s="34"/>
      <c r="AJ112" s="35"/>
      <c r="AK112" s="71"/>
      <c r="AL112" s="72"/>
      <c r="AM112" s="72"/>
      <c r="AN112" s="72"/>
      <c r="AO112" s="73"/>
      <c r="AP112" s="71"/>
      <c r="AQ112" s="72"/>
      <c r="AR112" s="72"/>
      <c r="AS112" s="72"/>
      <c r="AT112" s="73"/>
      <c r="AU112" s="71"/>
      <c r="AV112" s="72"/>
      <c r="AW112" s="72"/>
      <c r="AX112" s="72"/>
      <c r="AY112" s="73"/>
      <c r="AZ112" s="74"/>
      <c r="BA112" s="75"/>
      <c r="BB112" s="75"/>
      <c r="BC112" s="75"/>
      <c r="BD112" s="76"/>
    </row>
    <row r="113" spans="2:61" ht="27.95" customHeight="1" x14ac:dyDescent="0.25">
      <c r="B113" s="15"/>
      <c r="C113" s="24"/>
      <c r="D113" s="25"/>
      <c r="E113" s="25"/>
      <c r="F113" s="25"/>
      <c r="G113" s="25"/>
      <c r="H113" s="25"/>
      <c r="I113" s="25"/>
      <c r="J113" s="26"/>
      <c r="K113" s="18"/>
      <c r="L113" s="19"/>
      <c r="M113" s="20"/>
      <c r="N113" s="30"/>
      <c r="O113" s="31"/>
      <c r="P113" s="31"/>
      <c r="Q113" s="31"/>
      <c r="R113" s="31"/>
      <c r="S113" s="32"/>
      <c r="T113" s="18"/>
      <c r="U113" s="19"/>
      <c r="V113" s="19"/>
      <c r="W113" s="19"/>
      <c r="X113" s="19"/>
      <c r="Y113" s="20"/>
      <c r="Z113" s="18"/>
      <c r="AA113" s="19"/>
      <c r="AB113" s="19"/>
      <c r="AC113" s="19"/>
      <c r="AD113" s="19"/>
      <c r="AE113" s="20"/>
      <c r="AF113" s="33"/>
      <c r="AG113" s="34"/>
      <c r="AH113" s="34"/>
      <c r="AI113" s="34"/>
      <c r="AJ113" s="35"/>
      <c r="AK113" s="71"/>
      <c r="AL113" s="72"/>
      <c r="AM113" s="72"/>
      <c r="AN113" s="72"/>
      <c r="AO113" s="73"/>
      <c r="AP113" s="71"/>
      <c r="AQ113" s="72"/>
      <c r="AR113" s="72"/>
      <c r="AS113" s="72"/>
      <c r="AT113" s="73"/>
      <c r="AU113" s="71"/>
      <c r="AV113" s="72"/>
      <c r="AW113" s="72"/>
      <c r="AX113" s="72"/>
      <c r="AY113" s="73"/>
      <c r="AZ113" s="74"/>
      <c r="BA113" s="75"/>
      <c r="BB113" s="75"/>
      <c r="BC113" s="75"/>
      <c r="BD113" s="76"/>
    </row>
    <row r="114" spans="2:61" ht="27.95" customHeight="1" x14ac:dyDescent="0.25">
      <c r="B114" s="15"/>
      <c r="C114" s="24"/>
      <c r="D114" s="25"/>
      <c r="E114" s="25"/>
      <c r="F114" s="25"/>
      <c r="G114" s="25"/>
      <c r="H114" s="25"/>
      <c r="I114" s="25"/>
      <c r="J114" s="26"/>
      <c r="K114" s="18"/>
      <c r="L114" s="19"/>
      <c r="M114" s="20"/>
      <c r="N114" s="18"/>
      <c r="O114" s="19"/>
      <c r="P114" s="19"/>
      <c r="Q114" s="19"/>
      <c r="R114" s="19"/>
      <c r="S114" s="20"/>
      <c r="T114" s="18"/>
      <c r="U114" s="19"/>
      <c r="V114" s="19"/>
      <c r="W114" s="19"/>
      <c r="X114" s="19"/>
      <c r="Y114" s="20"/>
      <c r="Z114" s="18"/>
      <c r="AA114" s="19"/>
      <c r="AB114" s="19"/>
      <c r="AC114" s="19"/>
      <c r="AD114" s="19"/>
      <c r="AE114" s="20"/>
      <c r="AF114" s="33"/>
      <c r="AG114" s="34"/>
      <c r="AH114" s="34"/>
      <c r="AI114" s="34"/>
      <c r="AJ114" s="35"/>
      <c r="AK114" s="71"/>
      <c r="AL114" s="72"/>
      <c r="AM114" s="72"/>
      <c r="AN114" s="72"/>
      <c r="AO114" s="73"/>
      <c r="AP114" s="71"/>
      <c r="AQ114" s="72"/>
      <c r="AR114" s="72"/>
      <c r="AS114" s="72"/>
      <c r="AT114" s="73"/>
      <c r="AU114" s="71"/>
      <c r="AV114" s="72"/>
      <c r="AW114" s="72"/>
      <c r="AX114" s="72"/>
      <c r="AY114" s="73"/>
      <c r="AZ114" s="74"/>
      <c r="BA114" s="75"/>
      <c r="BB114" s="75"/>
      <c r="BC114" s="75"/>
      <c r="BD114" s="76"/>
      <c r="BG114" t="s">
        <v>8</v>
      </c>
      <c r="BI114" t="s">
        <v>8</v>
      </c>
    </row>
    <row r="115" spans="2:61" ht="27.95" customHeight="1" x14ac:dyDescent="0.25">
      <c r="B115" s="15"/>
      <c r="C115" s="24"/>
      <c r="D115" s="25"/>
      <c r="E115" s="25"/>
      <c r="F115" s="25"/>
      <c r="G115" s="25"/>
      <c r="H115" s="25"/>
      <c r="I115" s="25"/>
      <c r="J115" s="26"/>
      <c r="K115" s="18"/>
      <c r="L115" s="19"/>
      <c r="M115" s="20"/>
      <c r="N115" s="18"/>
      <c r="O115" s="19"/>
      <c r="P115" s="19"/>
      <c r="Q115" s="19"/>
      <c r="R115" s="19"/>
      <c r="S115" s="20"/>
      <c r="T115" s="18"/>
      <c r="U115" s="19"/>
      <c r="V115" s="19"/>
      <c r="W115" s="19"/>
      <c r="X115" s="19"/>
      <c r="Y115" s="20"/>
      <c r="Z115" s="18"/>
      <c r="AA115" s="19"/>
      <c r="AB115" s="19"/>
      <c r="AC115" s="19"/>
      <c r="AD115" s="19"/>
      <c r="AE115" s="20"/>
      <c r="AF115" s="33" t="s">
        <v>8</v>
      </c>
      <c r="AG115" s="34"/>
      <c r="AH115" s="34"/>
      <c r="AI115" s="34"/>
      <c r="AJ115" s="35"/>
      <c r="AK115" s="71"/>
      <c r="AL115" s="72"/>
      <c r="AM115" s="72"/>
      <c r="AN115" s="72"/>
      <c r="AO115" s="73"/>
      <c r="AP115" s="71"/>
      <c r="AQ115" s="72"/>
      <c r="AR115" s="72"/>
      <c r="AS115" s="72"/>
      <c r="AT115" s="73"/>
      <c r="AU115" s="71"/>
      <c r="AV115" s="72"/>
      <c r="AW115" s="72"/>
      <c r="AX115" s="72"/>
      <c r="AY115" s="73"/>
      <c r="AZ115" s="74"/>
      <c r="BA115" s="75"/>
      <c r="BB115" s="75"/>
      <c r="BC115" s="75"/>
      <c r="BD115" s="76"/>
    </row>
    <row r="116" spans="2:61" ht="27.95" customHeight="1" x14ac:dyDescent="0.25">
      <c r="B116" s="15"/>
      <c r="C116" s="24"/>
      <c r="D116" s="25"/>
      <c r="E116" s="25"/>
      <c r="F116" s="25"/>
      <c r="G116" s="25"/>
      <c r="H116" s="25"/>
      <c r="I116" s="25"/>
      <c r="J116" s="26"/>
      <c r="K116" s="18"/>
      <c r="L116" s="19"/>
      <c r="M116" s="20"/>
      <c r="N116" s="18"/>
      <c r="O116" s="19"/>
      <c r="P116" s="19"/>
      <c r="Q116" s="19"/>
      <c r="R116" s="19"/>
      <c r="S116" s="20"/>
      <c r="T116" s="18" t="s">
        <v>8</v>
      </c>
      <c r="U116" s="19"/>
      <c r="V116" s="19"/>
      <c r="W116" s="19"/>
      <c r="X116" s="19"/>
      <c r="Y116" s="20"/>
      <c r="Z116" s="18"/>
      <c r="AA116" s="19"/>
      <c r="AB116" s="19"/>
      <c r="AC116" s="19"/>
      <c r="AD116" s="19"/>
      <c r="AE116" s="20"/>
      <c r="AF116" s="33"/>
      <c r="AG116" s="34"/>
      <c r="AH116" s="34"/>
      <c r="AI116" s="34"/>
      <c r="AJ116" s="35"/>
      <c r="AK116" s="71"/>
      <c r="AL116" s="72"/>
      <c r="AM116" s="72"/>
      <c r="AN116" s="72"/>
      <c r="AO116" s="73"/>
      <c r="AP116" s="71"/>
      <c r="AQ116" s="72"/>
      <c r="AR116" s="72"/>
      <c r="AS116" s="72"/>
      <c r="AT116" s="73"/>
      <c r="AU116" s="71"/>
      <c r="AV116" s="72"/>
      <c r="AW116" s="72"/>
      <c r="AX116" s="72"/>
      <c r="AY116" s="73"/>
      <c r="AZ116" s="74"/>
      <c r="BA116" s="75"/>
      <c r="BB116" s="75"/>
      <c r="BC116" s="75"/>
      <c r="BD116" s="76"/>
    </row>
    <row r="117" spans="2:61" ht="22.5" customHeight="1" x14ac:dyDescent="0.25">
      <c r="B117" s="15"/>
      <c r="C117" s="24"/>
      <c r="D117" s="25"/>
      <c r="E117" s="25"/>
      <c r="F117" s="25"/>
      <c r="G117" s="25"/>
      <c r="H117" s="25"/>
      <c r="I117" s="25"/>
      <c r="J117" s="26"/>
      <c r="K117" s="18"/>
      <c r="L117" s="19"/>
      <c r="M117" s="20"/>
      <c r="N117" s="18"/>
      <c r="O117" s="19"/>
      <c r="P117" s="19"/>
      <c r="Q117" s="19"/>
      <c r="R117" s="19"/>
      <c r="S117" s="20"/>
      <c r="T117" s="18"/>
      <c r="U117" s="19"/>
      <c r="V117" s="19"/>
      <c r="W117" s="19"/>
      <c r="X117" s="19"/>
      <c r="Y117" s="20"/>
      <c r="Z117" s="18"/>
      <c r="AA117" s="19"/>
      <c r="AB117" s="19"/>
      <c r="AC117" s="19"/>
      <c r="AD117" s="19"/>
      <c r="AE117" s="20"/>
      <c r="AF117" s="33"/>
      <c r="AG117" s="34"/>
      <c r="AH117" s="34"/>
      <c r="AI117" s="34"/>
      <c r="AJ117" s="35"/>
      <c r="AK117" s="71"/>
      <c r="AL117" s="72"/>
      <c r="AM117" s="72"/>
      <c r="AN117" s="72"/>
      <c r="AO117" s="73"/>
      <c r="AP117" s="71"/>
      <c r="AQ117" s="72"/>
      <c r="AR117" s="72"/>
      <c r="AS117" s="72"/>
      <c r="AT117" s="73"/>
      <c r="AU117" s="71"/>
      <c r="AV117" s="72"/>
      <c r="AW117" s="72"/>
      <c r="AX117" s="72"/>
      <c r="AY117" s="73"/>
      <c r="AZ117" s="74"/>
      <c r="BA117" s="75"/>
      <c r="BB117" s="75"/>
      <c r="BC117" s="75"/>
      <c r="BD117" s="76"/>
      <c r="BH117" t="s">
        <v>8</v>
      </c>
    </row>
    <row r="118" spans="2:61" ht="21.75" customHeight="1" x14ac:dyDescent="0.25">
      <c r="B118" s="18" t="s">
        <v>25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20"/>
      <c r="AK118" s="18"/>
      <c r="AL118" s="19"/>
      <c r="AM118" s="19"/>
      <c r="AN118" s="19"/>
      <c r="AO118" s="20"/>
      <c r="AP118" s="18"/>
      <c r="AQ118" s="19"/>
      <c r="AR118" s="19"/>
      <c r="AS118" s="19"/>
      <c r="AT118" s="20"/>
      <c r="AU118" s="18"/>
      <c r="AV118" s="19"/>
      <c r="AW118" s="19"/>
      <c r="AX118" s="19"/>
      <c r="AY118" s="20"/>
      <c r="AZ118" s="21">
        <f>SUM(AZ110:AZ117)</f>
        <v>200000</v>
      </c>
      <c r="BA118" s="22"/>
      <c r="BB118" s="22"/>
      <c r="BC118" s="22"/>
      <c r="BD118" s="23"/>
    </row>
    <row r="119" spans="2:61" ht="20.25" customHeight="1" x14ac:dyDescent="0.25">
      <c r="B119" s="24" t="s">
        <v>115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6"/>
    </row>
    <row r="120" spans="2:61" x14ac:dyDescent="0.25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 t="s">
        <v>21</v>
      </c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 t="s">
        <v>116</v>
      </c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</row>
    <row r="121" spans="2:61" x14ac:dyDescent="0.25">
      <c r="B121" s="17"/>
      <c r="C121" s="17"/>
      <c r="D121" s="17"/>
      <c r="E121" s="17"/>
      <c r="F121" s="17"/>
      <c r="G121" s="17"/>
      <c r="H121" s="17"/>
      <c r="I121" s="17"/>
      <c r="J121" s="17"/>
      <c r="K121" s="16"/>
      <c r="L121" s="16"/>
      <c r="M121" s="16"/>
      <c r="N121" s="16"/>
      <c r="O121" s="16"/>
      <c r="P121" s="16"/>
      <c r="Q121" s="16"/>
      <c r="R121" s="16"/>
      <c r="S121" s="16"/>
      <c r="T121" s="16" t="s">
        <v>22</v>
      </c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 t="s">
        <v>23</v>
      </c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 t="s">
        <v>8</v>
      </c>
      <c r="BC121" s="16"/>
      <c r="BD121" s="16"/>
    </row>
    <row r="122" spans="2:61" x14ac:dyDescent="0.25">
      <c r="B122" s="17"/>
      <c r="C122" s="17"/>
      <c r="D122" s="17"/>
      <c r="E122" s="17"/>
      <c r="F122" s="17"/>
      <c r="G122" s="17"/>
      <c r="H122" s="17"/>
      <c r="I122" s="17"/>
      <c r="J122" s="17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</row>
    <row r="123" spans="2:61" x14ac:dyDescent="0.25">
      <c r="B123" s="17"/>
      <c r="C123" s="17"/>
      <c r="D123" s="17"/>
      <c r="E123" s="17"/>
      <c r="F123" s="17"/>
      <c r="G123" s="17"/>
      <c r="H123" s="17"/>
      <c r="I123" s="17"/>
      <c r="J123" s="17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 t="s">
        <v>8</v>
      </c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 t="s">
        <v>8</v>
      </c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</row>
    <row r="124" spans="2:61" x14ac:dyDescent="0.25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</row>
    <row r="125" spans="2:61" x14ac:dyDescent="0.25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6" t="s">
        <v>50</v>
      </c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6" t="str">
        <f>C110</f>
        <v>Benny Saputra</v>
      </c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</row>
    <row r="126" spans="2:61" x14ac:dyDescent="0.25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 t="s">
        <v>39</v>
      </c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</row>
    <row r="127" spans="2:61" x14ac:dyDescent="0.25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</row>
    <row r="128" spans="2:61" ht="36.75" customHeight="1" x14ac:dyDescent="0.25"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</row>
    <row r="129" spans="2:67" ht="18.75" x14ac:dyDescent="0.3">
      <c r="B129" s="70" t="s">
        <v>0</v>
      </c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70"/>
      <c r="BC129" s="70"/>
      <c r="BD129" s="70"/>
    </row>
    <row r="130" spans="2:67" ht="18.75" x14ac:dyDescent="0.3">
      <c r="B130" s="70" t="s">
        <v>1</v>
      </c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70"/>
      <c r="AX130" s="70"/>
      <c r="AY130" s="70"/>
      <c r="AZ130" s="70"/>
      <c r="BA130" s="70"/>
      <c r="BB130" s="70"/>
      <c r="BC130" s="70"/>
      <c r="BD130" s="70"/>
    </row>
    <row r="131" spans="2:67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3" spans="2:67" x14ac:dyDescent="0.25">
      <c r="B133" s="64" t="s">
        <v>2</v>
      </c>
      <c r="C133" s="64"/>
      <c r="D133" s="64"/>
      <c r="E133" s="64"/>
      <c r="F133" s="64"/>
      <c r="G133" s="64"/>
      <c r="H133" s="64"/>
      <c r="I133" s="64"/>
      <c r="J133" s="1" t="s">
        <v>3</v>
      </c>
      <c r="K133" s="64" t="s">
        <v>106</v>
      </c>
      <c r="L133" s="64"/>
      <c r="M133" s="64"/>
      <c r="N133" s="64"/>
      <c r="O133" s="64"/>
      <c r="P133" s="64"/>
      <c r="Q133" s="64"/>
      <c r="R133" s="64"/>
      <c r="S133" s="64"/>
      <c r="AA133" s="64" t="s">
        <v>4</v>
      </c>
      <c r="AB133" s="64"/>
      <c r="AC133" s="64"/>
      <c r="AD133" s="64"/>
      <c r="AE133" s="64"/>
      <c r="AF133" s="64"/>
      <c r="AG133" s="64"/>
      <c r="AH133" t="s">
        <v>3</v>
      </c>
      <c r="AI133" s="65">
        <v>46220</v>
      </c>
      <c r="AJ133" s="65"/>
      <c r="AK133" s="65"/>
      <c r="AL133" s="65"/>
      <c r="AM133" s="65"/>
      <c r="AN133" s="65"/>
      <c r="AO133" s="65"/>
      <c r="AP133" s="65"/>
      <c r="AQ133" s="65"/>
      <c r="AR133" s="65"/>
    </row>
    <row r="134" spans="2:67" x14ac:dyDescent="0.25">
      <c r="B134" s="64" t="s">
        <v>5</v>
      </c>
      <c r="C134" s="64"/>
      <c r="D134" s="64"/>
      <c r="E134" s="64"/>
      <c r="F134" s="64"/>
      <c r="G134" s="64"/>
      <c r="H134" s="64"/>
      <c r="I134" s="64"/>
      <c r="J134" s="1" t="s">
        <v>3</v>
      </c>
      <c r="K134" s="65">
        <v>46220</v>
      </c>
      <c r="L134" s="65"/>
      <c r="M134" s="65"/>
      <c r="N134" s="65"/>
      <c r="O134" s="65"/>
      <c r="P134" s="65"/>
      <c r="Q134" s="65"/>
      <c r="R134" s="65"/>
      <c r="S134" s="65"/>
      <c r="AA134" s="64" t="s">
        <v>6</v>
      </c>
      <c r="AB134" s="64"/>
      <c r="AC134" s="64"/>
      <c r="AD134" s="64"/>
      <c r="AE134" s="64"/>
      <c r="AF134" s="64"/>
      <c r="AG134" s="64"/>
      <c r="AH134" t="s">
        <v>3</v>
      </c>
      <c r="AI134" s="65">
        <v>46220</v>
      </c>
      <c r="AJ134" s="65"/>
      <c r="AK134" s="65"/>
      <c r="AL134" s="65"/>
      <c r="AM134" s="65"/>
      <c r="AN134" s="65"/>
      <c r="AO134" s="65"/>
      <c r="AP134" s="65"/>
      <c r="AQ134" s="65"/>
      <c r="AR134" s="65"/>
    </row>
    <row r="135" spans="2:67" x14ac:dyDescent="0.25">
      <c r="B135" s="64" t="s">
        <v>7</v>
      </c>
      <c r="C135" s="64"/>
      <c r="D135" s="64"/>
      <c r="E135" s="64"/>
      <c r="F135" s="64"/>
      <c r="G135" s="64"/>
      <c r="H135" s="64"/>
      <c r="I135" s="64"/>
      <c r="J135" s="1" t="s">
        <v>3</v>
      </c>
      <c r="K135" s="64" t="s">
        <v>38</v>
      </c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W135" t="s">
        <v>8</v>
      </c>
    </row>
    <row r="136" spans="2:67" x14ac:dyDescent="0.25">
      <c r="J136" s="1"/>
    </row>
    <row r="137" spans="2:67" ht="30" customHeight="1" x14ac:dyDescent="0.25">
      <c r="B137" s="2" t="s">
        <v>9</v>
      </c>
      <c r="C137" s="36" t="s">
        <v>10</v>
      </c>
      <c r="D137" s="36"/>
      <c r="E137" s="36"/>
      <c r="F137" s="36"/>
      <c r="G137" s="36"/>
      <c r="H137" s="36"/>
      <c r="I137" s="36"/>
      <c r="J137" s="36"/>
      <c r="K137" s="36" t="s">
        <v>11</v>
      </c>
      <c r="L137" s="36"/>
      <c r="M137" s="36"/>
      <c r="N137" s="36" t="s">
        <v>12</v>
      </c>
      <c r="O137" s="36"/>
      <c r="P137" s="36"/>
      <c r="Q137" s="36"/>
      <c r="R137" s="36"/>
      <c r="S137" s="36"/>
      <c r="T137" s="36" t="s">
        <v>24</v>
      </c>
      <c r="U137" s="36"/>
      <c r="V137" s="36"/>
      <c r="W137" s="36"/>
      <c r="X137" s="36"/>
      <c r="Y137" s="36"/>
      <c r="Z137" s="36" t="s">
        <v>14</v>
      </c>
      <c r="AA137" s="36"/>
      <c r="AB137" s="36"/>
      <c r="AC137" s="36"/>
      <c r="AD137" s="36"/>
      <c r="AE137" s="36"/>
      <c r="AF137" s="36" t="s">
        <v>15</v>
      </c>
      <c r="AG137" s="36"/>
      <c r="AH137" s="36"/>
      <c r="AI137" s="36"/>
      <c r="AJ137" s="36"/>
      <c r="AK137" s="63" t="s">
        <v>16</v>
      </c>
      <c r="AL137" s="63"/>
      <c r="AM137" s="63"/>
      <c r="AN137" s="63"/>
      <c r="AO137" s="63"/>
      <c r="AP137" s="63" t="s">
        <v>17</v>
      </c>
      <c r="AQ137" s="63"/>
      <c r="AR137" s="63"/>
      <c r="AS137" s="63"/>
      <c r="AT137" s="63"/>
      <c r="AU137" s="36" t="s">
        <v>18</v>
      </c>
      <c r="AV137" s="36"/>
      <c r="AW137" s="36"/>
      <c r="AX137" s="36"/>
      <c r="AY137" s="36"/>
      <c r="AZ137" s="63" t="s">
        <v>19</v>
      </c>
      <c r="BA137" s="63"/>
      <c r="BB137" s="63"/>
      <c r="BC137" s="63"/>
      <c r="BD137" s="63"/>
    </row>
    <row r="138" spans="2:67" ht="30" customHeight="1" x14ac:dyDescent="0.25">
      <c r="B138" s="3" t="s">
        <v>20</v>
      </c>
      <c r="C138" s="60" t="s">
        <v>107</v>
      </c>
      <c r="D138" s="61"/>
      <c r="E138" s="61"/>
      <c r="F138" s="61"/>
      <c r="G138" s="61"/>
      <c r="H138" s="61"/>
      <c r="I138" s="61"/>
      <c r="J138" s="62"/>
      <c r="K138" s="42">
        <v>1724</v>
      </c>
      <c r="L138" s="43"/>
      <c r="M138" s="44"/>
      <c r="N138" s="51" t="s">
        <v>28</v>
      </c>
      <c r="O138" s="52"/>
      <c r="P138" s="52"/>
      <c r="Q138" s="52"/>
      <c r="R138" s="52"/>
      <c r="S138" s="53"/>
      <c r="T138" s="42" t="s">
        <v>110</v>
      </c>
      <c r="U138" s="43"/>
      <c r="V138" s="43"/>
      <c r="W138" s="43"/>
      <c r="X138" s="43"/>
      <c r="Y138" s="44"/>
      <c r="Z138" s="42" t="s">
        <v>32</v>
      </c>
      <c r="AA138" s="43"/>
      <c r="AB138" s="43"/>
      <c r="AC138" s="43"/>
      <c r="AD138" s="43"/>
      <c r="AE138" s="44"/>
      <c r="AF138" s="54">
        <v>125000</v>
      </c>
      <c r="AG138" s="55"/>
      <c r="AH138" s="55"/>
      <c r="AI138" s="55"/>
      <c r="AJ138" s="56"/>
      <c r="AK138" s="57"/>
      <c r="AL138" s="58"/>
      <c r="AM138" s="58"/>
      <c r="AN138" s="58"/>
      <c r="AO138" s="59"/>
      <c r="AP138" s="57"/>
      <c r="AQ138" s="58"/>
      <c r="AR138" s="58"/>
      <c r="AS138" s="58"/>
      <c r="AT138" s="59"/>
      <c r="AU138" s="57"/>
      <c r="AV138" s="58"/>
      <c r="AW138" s="58"/>
      <c r="AX138" s="58"/>
      <c r="AY138" s="59"/>
      <c r="AZ138" s="45">
        <f t="shared" ref="AZ138:AZ139" si="2">AF138</f>
        <v>125000</v>
      </c>
      <c r="BA138" s="46"/>
      <c r="BB138" s="46"/>
      <c r="BC138" s="46"/>
      <c r="BD138" s="47"/>
    </row>
    <row r="139" spans="2:67" ht="30" customHeight="1" x14ac:dyDescent="0.25">
      <c r="B139" s="3" t="s">
        <v>29</v>
      </c>
      <c r="C139" s="48" t="s">
        <v>50</v>
      </c>
      <c r="D139" s="49"/>
      <c r="E139" s="49"/>
      <c r="F139" s="49"/>
      <c r="G139" s="49"/>
      <c r="H139" s="49"/>
      <c r="I139" s="49"/>
      <c r="J139" s="50"/>
      <c r="K139" s="42">
        <v>1747</v>
      </c>
      <c r="L139" s="43"/>
      <c r="M139" s="44"/>
      <c r="N139" s="51" t="s">
        <v>39</v>
      </c>
      <c r="O139" s="52"/>
      <c r="P139" s="52"/>
      <c r="Q139" s="52"/>
      <c r="R139" s="52"/>
      <c r="S139" s="53"/>
      <c r="T139" s="42" t="s">
        <v>36</v>
      </c>
      <c r="U139" s="43"/>
      <c r="V139" s="43"/>
      <c r="W139" s="43"/>
      <c r="X139" s="43"/>
      <c r="Y139" s="44"/>
      <c r="Z139" s="42" t="s">
        <v>32</v>
      </c>
      <c r="AA139" s="43"/>
      <c r="AB139" s="43"/>
      <c r="AC139" s="43"/>
      <c r="AD139" s="43"/>
      <c r="AE139" s="44"/>
      <c r="AF139" s="54">
        <v>100000</v>
      </c>
      <c r="AG139" s="55"/>
      <c r="AH139" s="55"/>
      <c r="AI139" s="55"/>
      <c r="AJ139" s="56"/>
      <c r="AK139" s="57"/>
      <c r="AL139" s="58"/>
      <c r="AM139" s="58"/>
      <c r="AN139" s="58"/>
      <c r="AO139" s="59"/>
      <c r="AP139" s="57"/>
      <c r="AQ139" s="58"/>
      <c r="AR139" s="58"/>
      <c r="AS139" s="58"/>
      <c r="AT139" s="59"/>
      <c r="AU139" s="57"/>
      <c r="AV139" s="58"/>
      <c r="AW139" s="58"/>
      <c r="AX139" s="58"/>
      <c r="AY139" s="59"/>
      <c r="AZ139" s="45">
        <f t="shared" si="2"/>
        <v>100000</v>
      </c>
      <c r="BA139" s="46"/>
      <c r="BB139" s="46"/>
      <c r="BC139" s="46"/>
      <c r="BD139" s="47"/>
    </row>
    <row r="140" spans="2:67" ht="30" customHeight="1" x14ac:dyDescent="0.25">
      <c r="B140" s="3" t="s">
        <v>30</v>
      </c>
      <c r="C140" s="60" t="s">
        <v>108</v>
      </c>
      <c r="D140" s="61"/>
      <c r="E140" s="61"/>
      <c r="F140" s="61"/>
      <c r="G140" s="61"/>
      <c r="H140" s="61"/>
      <c r="I140" s="61"/>
      <c r="J140" s="62"/>
      <c r="K140" s="42">
        <v>1939</v>
      </c>
      <c r="L140" s="43"/>
      <c r="M140" s="44"/>
      <c r="N140" s="51" t="s">
        <v>39</v>
      </c>
      <c r="O140" s="52"/>
      <c r="P140" s="52"/>
      <c r="Q140" s="52"/>
      <c r="R140" s="52"/>
      <c r="S140" s="53"/>
      <c r="T140" s="42" t="s">
        <v>110</v>
      </c>
      <c r="U140" s="43"/>
      <c r="V140" s="43"/>
      <c r="W140" s="43"/>
      <c r="X140" s="43"/>
      <c r="Y140" s="44"/>
      <c r="Z140" s="42" t="s">
        <v>32</v>
      </c>
      <c r="AA140" s="43"/>
      <c r="AB140" s="43"/>
      <c r="AC140" s="43"/>
      <c r="AD140" s="43"/>
      <c r="AE140" s="44"/>
      <c r="AF140" s="54">
        <v>90000</v>
      </c>
      <c r="AG140" s="55"/>
      <c r="AH140" s="55"/>
      <c r="AI140" s="55"/>
      <c r="AJ140" s="56"/>
      <c r="AK140" s="57"/>
      <c r="AL140" s="58"/>
      <c r="AM140" s="58"/>
      <c r="AN140" s="58"/>
      <c r="AO140" s="59"/>
      <c r="AP140" s="57"/>
      <c r="AQ140" s="58"/>
      <c r="AR140" s="58"/>
      <c r="AS140" s="58"/>
      <c r="AT140" s="59"/>
      <c r="AU140" s="57"/>
      <c r="AV140" s="58"/>
      <c r="AW140" s="58"/>
      <c r="AX140" s="58"/>
      <c r="AY140" s="59"/>
      <c r="AZ140" s="45">
        <v>100000</v>
      </c>
      <c r="BA140" s="46"/>
      <c r="BB140" s="46"/>
      <c r="BC140" s="46"/>
      <c r="BD140" s="47"/>
    </row>
    <row r="141" spans="2:67" ht="30" customHeight="1" x14ac:dyDescent="0.25">
      <c r="B141" s="3" t="s">
        <v>53</v>
      </c>
      <c r="C141" s="60" t="s">
        <v>109</v>
      </c>
      <c r="D141" s="61"/>
      <c r="E141" s="61"/>
      <c r="F141" s="61"/>
      <c r="G141" s="61"/>
      <c r="H141" s="61"/>
      <c r="I141" s="61"/>
      <c r="J141" s="62"/>
      <c r="K141" s="42">
        <v>2021</v>
      </c>
      <c r="L141" s="43"/>
      <c r="M141" s="44"/>
      <c r="N141" s="51" t="s">
        <v>40</v>
      </c>
      <c r="O141" s="52"/>
      <c r="P141" s="52"/>
      <c r="Q141" s="52"/>
      <c r="R141" s="52"/>
      <c r="S141" s="53"/>
      <c r="T141" s="42" t="s">
        <v>110</v>
      </c>
      <c r="U141" s="43"/>
      <c r="V141" s="43"/>
      <c r="W141" s="43"/>
      <c r="X141" s="43"/>
      <c r="Y141" s="44"/>
      <c r="Z141" s="42" t="s">
        <v>32</v>
      </c>
      <c r="AA141" s="43"/>
      <c r="AB141" s="43"/>
      <c r="AC141" s="43"/>
      <c r="AD141" s="43"/>
      <c r="AE141" s="44"/>
      <c r="AF141" s="54">
        <v>75000</v>
      </c>
      <c r="AG141" s="55"/>
      <c r="AH141" s="55"/>
      <c r="AI141" s="55"/>
      <c r="AJ141" s="56"/>
      <c r="AK141" s="57"/>
      <c r="AL141" s="58"/>
      <c r="AM141" s="58"/>
      <c r="AN141" s="58"/>
      <c r="AO141" s="59"/>
      <c r="AP141" s="57"/>
      <c r="AQ141" s="58"/>
      <c r="AR141" s="58"/>
      <c r="AS141" s="58"/>
      <c r="AT141" s="59"/>
      <c r="AU141" s="57"/>
      <c r="AV141" s="58"/>
      <c r="AW141" s="58"/>
      <c r="AX141" s="58"/>
      <c r="AY141" s="59"/>
      <c r="AZ141" s="45">
        <f t="shared" ref="AZ141" si="3">AF141</f>
        <v>75000</v>
      </c>
      <c r="BA141" s="46"/>
      <c r="BB141" s="46"/>
      <c r="BC141" s="46"/>
      <c r="BD141" s="47"/>
      <c r="BH141" t="s">
        <v>8</v>
      </c>
      <c r="BJ141" t="s">
        <v>8</v>
      </c>
    </row>
    <row r="142" spans="2:67" ht="30" customHeight="1" x14ac:dyDescent="0.25">
      <c r="B142" s="3"/>
      <c r="C142" s="60"/>
      <c r="D142" s="61"/>
      <c r="E142" s="61"/>
      <c r="F142" s="61"/>
      <c r="G142" s="61"/>
      <c r="H142" s="61"/>
      <c r="I142" s="61"/>
      <c r="J142" s="62"/>
      <c r="K142" s="36"/>
      <c r="L142" s="36"/>
      <c r="M142" s="36"/>
      <c r="N142" s="36"/>
      <c r="O142" s="36"/>
      <c r="P142" s="36"/>
      <c r="Q142" s="36"/>
      <c r="R142" s="36"/>
      <c r="S142" s="36"/>
      <c r="T142" s="42"/>
      <c r="U142" s="43"/>
      <c r="V142" s="43"/>
      <c r="W142" s="43"/>
      <c r="X142" s="43"/>
      <c r="Y142" s="44"/>
      <c r="Z142" s="42"/>
      <c r="AA142" s="43"/>
      <c r="AB142" s="43"/>
      <c r="AC142" s="43"/>
      <c r="AD142" s="43"/>
      <c r="AE142" s="44"/>
      <c r="AF142" s="39"/>
      <c r="AG142" s="39"/>
      <c r="AH142" s="39"/>
      <c r="AI142" s="39"/>
      <c r="AJ142" s="39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5"/>
      <c r="BA142" s="46"/>
      <c r="BB142" s="46"/>
      <c r="BC142" s="46"/>
      <c r="BD142" s="47"/>
      <c r="BO142" t="s">
        <v>8</v>
      </c>
    </row>
    <row r="143" spans="2:67" ht="30" customHeight="1" x14ac:dyDescent="0.25">
      <c r="B143" s="3"/>
      <c r="C143" s="60"/>
      <c r="D143" s="61"/>
      <c r="E143" s="61"/>
      <c r="F143" s="61"/>
      <c r="G143" s="61"/>
      <c r="H143" s="61"/>
      <c r="I143" s="61"/>
      <c r="J143" s="62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42"/>
      <c r="AA143" s="43"/>
      <c r="AB143" s="43"/>
      <c r="AC143" s="43"/>
      <c r="AD143" s="43"/>
      <c r="AE143" s="44"/>
      <c r="AF143" s="39"/>
      <c r="AG143" s="39"/>
      <c r="AH143" s="39"/>
      <c r="AI143" s="39"/>
      <c r="AJ143" s="39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5"/>
      <c r="BA143" s="46"/>
      <c r="BB143" s="46"/>
      <c r="BC143" s="46"/>
      <c r="BD143" s="47"/>
    </row>
    <row r="144" spans="2:67" ht="30" customHeight="1" x14ac:dyDescent="0.25">
      <c r="B144" s="3"/>
      <c r="C144" s="38"/>
      <c r="D144" s="38"/>
      <c r="E144" s="38"/>
      <c r="F144" s="38"/>
      <c r="G144" s="38"/>
      <c r="H144" s="38"/>
      <c r="I144" s="38"/>
      <c r="J144" s="38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42"/>
      <c r="AA144" s="43"/>
      <c r="AB144" s="43"/>
      <c r="AC144" s="43"/>
      <c r="AD144" s="43"/>
      <c r="AE144" s="44"/>
      <c r="AF144" s="39"/>
      <c r="AG144" s="39"/>
      <c r="AH144" s="39"/>
      <c r="AI144" s="39"/>
      <c r="AJ144" s="39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5"/>
      <c r="BA144" s="46"/>
      <c r="BB144" s="46"/>
      <c r="BC144" s="46"/>
      <c r="BD144" s="47"/>
    </row>
    <row r="145" spans="2:60" ht="30" customHeight="1" x14ac:dyDescent="0.25">
      <c r="B145" s="3"/>
      <c r="C145" s="38"/>
      <c r="D145" s="38"/>
      <c r="E145" s="38"/>
      <c r="F145" s="38"/>
      <c r="G145" s="38"/>
      <c r="H145" s="38"/>
      <c r="I145" s="38"/>
      <c r="J145" s="38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9"/>
      <c r="AG145" s="39"/>
      <c r="AH145" s="39"/>
      <c r="AI145" s="39"/>
      <c r="AJ145" s="39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1"/>
      <c r="BA145" s="41"/>
      <c r="BB145" s="41"/>
      <c r="BC145" s="41"/>
      <c r="BD145" s="41"/>
    </row>
    <row r="146" spans="2:60" ht="30" customHeight="1" x14ac:dyDescent="0.25">
      <c r="B146" s="36" t="s">
        <v>25</v>
      </c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7">
        <f>SUM(AZ138:AZ145)</f>
        <v>400000</v>
      </c>
      <c r="BA146" s="37"/>
      <c r="BB146" s="37"/>
      <c r="BC146" s="37"/>
      <c r="BD146" s="37"/>
      <c r="BH146" t="s">
        <v>8</v>
      </c>
    </row>
    <row r="147" spans="2:60" ht="30" customHeight="1" x14ac:dyDescent="0.25">
      <c r="B147" s="38" t="s">
        <v>112</v>
      </c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</row>
    <row r="148" spans="2:60" x14ac:dyDescent="0.25">
      <c r="T148" t="s">
        <v>21</v>
      </c>
      <c r="AK148" t="s">
        <v>111</v>
      </c>
    </row>
    <row r="149" spans="2:60" x14ac:dyDescent="0.25">
      <c r="B149" s="4"/>
      <c r="C149" s="4"/>
      <c r="D149" s="4"/>
      <c r="E149" s="4"/>
      <c r="F149" s="4"/>
      <c r="G149" s="4"/>
      <c r="H149" s="4"/>
      <c r="I149" s="4"/>
      <c r="J149" s="4"/>
      <c r="T149" t="s">
        <v>22</v>
      </c>
      <c r="AK149" t="s">
        <v>23</v>
      </c>
      <c r="BB149" t="s">
        <v>8</v>
      </c>
    </row>
    <row r="150" spans="2:60" x14ac:dyDescent="0.25">
      <c r="B150" s="4"/>
      <c r="C150" s="4"/>
      <c r="D150" s="4"/>
      <c r="E150" s="4"/>
      <c r="F150" s="4"/>
      <c r="G150" s="4"/>
      <c r="H150" s="4"/>
      <c r="I150" s="4"/>
      <c r="J150" s="4"/>
    </row>
    <row r="151" spans="2:60" x14ac:dyDescent="0.25">
      <c r="B151" s="4"/>
      <c r="C151" s="4"/>
      <c r="D151" s="4"/>
      <c r="E151" s="4"/>
      <c r="F151" s="4"/>
      <c r="G151" s="4"/>
      <c r="H151" s="4"/>
      <c r="I151" s="4"/>
      <c r="J151" s="4"/>
      <c r="Y151" t="s">
        <v>8</v>
      </c>
      <c r="AR151" t="s">
        <v>8</v>
      </c>
    </row>
    <row r="153" spans="2:60" x14ac:dyDescent="0.25">
      <c r="T153" s="5" t="s">
        <v>101</v>
      </c>
      <c r="AK153" s="5" t="str">
        <f>C138</f>
        <v>Dimas Andhika</v>
      </c>
    </row>
    <row r="154" spans="2:60" x14ac:dyDescent="0.25">
      <c r="T154" t="s">
        <v>28</v>
      </c>
    </row>
    <row r="164" spans="2:56" ht="18.75" x14ac:dyDescent="0.3">
      <c r="B164" s="70" t="s">
        <v>0</v>
      </c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70"/>
      <c r="AX164" s="70"/>
      <c r="AY164" s="70"/>
      <c r="AZ164" s="70"/>
      <c r="BA164" s="70"/>
      <c r="BB164" s="70"/>
      <c r="BC164" s="70"/>
      <c r="BD164" s="70"/>
    </row>
    <row r="165" spans="2:56" ht="18.75" x14ac:dyDescent="0.3">
      <c r="B165" s="70" t="s">
        <v>1</v>
      </c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70"/>
      <c r="AX165" s="70"/>
      <c r="AY165" s="70"/>
      <c r="AZ165" s="70"/>
      <c r="BA165" s="70"/>
      <c r="BB165" s="70"/>
      <c r="BC165" s="70"/>
      <c r="BD165" s="70"/>
    </row>
    <row r="166" spans="2:56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8" spans="2:56" x14ac:dyDescent="0.25">
      <c r="B168" s="64" t="s">
        <v>2</v>
      </c>
      <c r="C168" s="64"/>
      <c r="D168" s="64"/>
      <c r="E168" s="64"/>
      <c r="F168" s="64"/>
      <c r="G168" s="64"/>
      <c r="H168" s="64"/>
      <c r="I168" s="64"/>
      <c r="J168" s="1" t="s">
        <v>3</v>
      </c>
      <c r="K168" s="64" t="s">
        <v>82</v>
      </c>
      <c r="L168" s="64"/>
      <c r="M168" s="64"/>
      <c r="N168" s="64"/>
      <c r="O168" s="64"/>
      <c r="P168" s="64"/>
      <c r="Q168" s="64"/>
      <c r="R168" s="64"/>
      <c r="S168" s="64"/>
      <c r="AA168" s="64" t="s">
        <v>4</v>
      </c>
      <c r="AB168" s="64"/>
      <c r="AC168" s="64"/>
      <c r="AD168" s="64"/>
      <c r="AE168" s="64"/>
      <c r="AF168" s="64"/>
      <c r="AG168" s="64"/>
      <c r="AH168" t="s">
        <v>3</v>
      </c>
      <c r="AI168" s="65">
        <v>46006</v>
      </c>
      <c r="AJ168" s="65"/>
      <c r="AK168" s="65"/>
      <c r="AL168" s="65"/>
      <c r="AM168" s="65"/>
      <c r="AN168" s="65"/>
      <c r="AO168" s="65"/>
      <c r="AP168" s="65"/>
      <c r="AQ168" s="65"/>
      <c r="AR168" s="65"/>
    </row>
    <row r="169" spans="2:56" x14ac:dyDescent="0.25">
      <c r="B169" s="64" t="s">
        <v>5</v>
      </c>
      <c r="C169" s="64"/>
      <c r="D169" s="64"/>
      <c r="E169" s="64"/>
      <c r="F169" s="64"/>
      <c r="G169" s="64"/>
      <c r="H169" s="64"/>
      <c r="I169" s="64"/>
      <c r="J169" s="1" t="s">
        <v>3</v>
      </c>
      <c r="K169" s="65">
        <v>46006</v>
      </c>
      <c r="L169" s="65"/>
      <c r="M169" s="65"/>
      <c r="N169" s="65"/>
      <c r="O169" s="65"/>
      <c r="P169" s="65"/>
      <c r="Q169" s="65"/>
      <c r="R169" s="65"/>
      <c r="S169" s="65"/>
      <c r="AA169" s="64" t="s">
        <v>6</v>
      </c>
      <c r="AB169" s="64"/>
      <c r="AC169" s="64"/>
      <c r="AD169" s="64"/>
      <c r="AE169" s="64"/>
      <c r="AF169" s="64"/>
      <c r="AG169" s="64"/>
      <c r="AH169" t="s">
        <v>3</v>
      </c>
      <c r="AI169" s="65">
        <v>46006</v>
      </c>
      <c r="AJ169" s="65"/>
      <c r="AK169" s="65"/>
      <c r="AL169" s="65"/>
      <c r="AM169" s="65"/>
      <c r="AN169" s="65"/>
      <c r="AO169" s="65"/>
      <c r="AP169" s="65"/>
      <c r="AQ169" s="65"/>
      <c r="AR169" s="65"/>
    </row>
    <row r="170" spans="2:56" x14ac:dyDescent="0.25">
      <c r="B170" s="64" t="s">
        <v>7</v>
      </c>
      <c r="C170" s="64"/>
      <c r="D170" s="64"/>
      <c r="E170" s="64"/>
      <c r="F170" s="64"/>
      <c r="G170" s="64"/>
      <c r="H170" s="64"/>
      <c r="I170" s="64"/>
      <c r="J170" s="1" t="s">
        <v>3</v>
      </c>
      <c r="K170" s="64" t="s">
        <v>34</v>
      </c>
      <c r="L170" s="64"/>
      <c r="M170" s="64"/>
      <c r="N170" s="64"/>
      <c r="O170" s="64"/>
      <c r="P170" s="64"/>
      <c r="Q170" s="64"/>
      <c r="R170" s="64"/>
      <c r="S170" s="64"/>
      <c r="T170" s="64"/>
      <c r="U170" s="64"/>
    </row>
    <row r="171" spans="2:56" x14ac:dyDescent="0.25">
      <c r="J171" s="1"/>
    </row>
    <row r="172" spans="2:56" ht="30" customHeight="1" x14ac:dyDescent="0.25">
      <c r="B172" s="2" t="s">
        <v>9</v>
      </c>
      <c r="C172" s="36" t="s">
        <v>10</v>
      </c>
      <c r="D172" s="36"/>
      <c r="E172" s="36"/>
      <c r="F172" s="36"/>
      <c r="G172" s="36"/>
      <c r="H172" s="36"/>
      <c r="I172" s="36"/>
      <c r="J172" s="36"/>
      <c r="K172" s="36" t="s">
        <v>11</v>
      </c>
      <c r="L172" s="36"/>
      <c r="M172" s="36"/>
      <c r="N172" s="36" t="s">
        <v>12</v>
      </c>
      <c r="O172" s="36"/>
      <c r="P172" s="36"/>
      <c r="Q172" s="36"/>
      <c r="R172" s="36"/>
      <c r="S172" s="36"/>
      <c r="T172" s="36" t="s">
        <v>24</v>
      </c>
      <c r="U172" s="36"/>
      <c r="V172" s="36"/>
      <c r="W172" s="36"/>
      <c r="X172" s="36"/>
      <c r="Y172" s="36"/>
      <c r="Z172" s="36" t="s">
        <v>14</v>
      </c>
      <c r="AA172" s="36"/>
      <c r="AB172" s="36"/>
      <c r="AC172" s="36"/>
      <c r="AD172" s="36"/>
      <c r="AE172" s="36"/>
      <c r="AF172" s="36" t="s">
        <v>15</v>
      </c>
      <c r="AG172" s="36"/>
      <c r="AH172" s="36"/>
      <c r="AI172" s="36"/>
      <c r="AJ172" s="36"/>
      <c r="AK172" s="63" t="s">
        <v>16</v>
      </c>
      <c r="AL172" s="63"/>
      <c r="AM172" s="63"/>
      <c r="AN172" s="63"/>
      <c r="AO172" s="63"/>
      <c r="AP172" s="63" t="s">
        <v>17</v>
      </c>
      <c r="AQ172" s="63"/>
      <c r="AR172" s="63"/>
      <c r="AS172" s="63"/>
      <c r="AT172" s="63"/>
      <c r="AU172" s="36" t="s">
        <v>18</v>
      </c>
      <c r="AV172" s="36"/>
      <c r="AW172" s="36"/>
      <c r="AX172" s="36"/>
      <c r="AY172" s="36"/>
      <c r="AZ172" s="63" t="s">
        <v>19</v>
      </c>
      <c r="BA172" s="63"/>
      <c r="BB172" s="63"/>
      <c r="BC172" s="63"/>
      <c r="BD172" s="63"/>
    </row>
    <row r="173" spans="2:56" ht="24.95" customHeight="1" x14ac:dyDescent="0.25">
      <c r="B173" s="3" t="s">
        <v>20</v>
      </c>
      <c r="C173" s="60" t="s">
        <v>35</v>
      </c>
      <c r="D173" s="61"/>
      <c r="E173" s="61"/>
      <c r="F173" s="61"/>
      <c r="G173" s="61"/>
      <c r="H173" s="61"/>
      <c r="I173" s="61"/>
      <c r="J173" s="62"/>
      <c r="K173" s="42">
        <v>1823</v>
      </c>
      <c r="L173" s="43"/>
      <c r="M173" s="44"/>
      <c r="N173" s="51" t="s">
        <v>31</v>
      </c>
      <c r="O173" s="52"/>
      <c r="P173" s="52"/>
      <c r="Q173" s="52"/>
      <c r="R173" s="52"/>
      <c r="S173" s="53"/>
      <c r="T173" s="42" t="s">
        <v>36</v>
      </c>
      <c r="U173" s="43"/>
      <c r="V173" s="43"/>
      <c r="W173" s="43"/>
      <c r="X173" s="43"/>
      <c r="Y173" s="44"/>
      <c r="Z173" s="42" t="s">
        <v>32</v>
      </c>
      <c r="AA173" s="43"/>
      <c r="AB173" s="43"/>
      <c r="AC173" s="43"/>
      <c r="AD173" s="43"/>
      <c r="AE173" s="44"/>
      <c r="AF173" s="54">
        <v>135000</v>
      </c>
      <c r="AG173" s="55"/>
      <c r="AH173" s="55"/>
      <c r="AI173" s="55"/>
      <c r="AJ173" s="56"/>
      <c r="AK173" s="57"/>
      <c r="AL173" s="58"/>
      <c r="AM173" s="58"/>
      <c r="AN173" s="58"/>
      <c r="AO173" s="59"/>
      <c r="AP173" s="57"/>
      <c r="AQ173" s="58"/>
      <c r="AR173" s="58"/>
      <c r="AS173" s="58"/>
      <c r="AT173" s="59"/>
      <c r="AU173" s="57"/>
      <c r="AV173" s="58"/>
      <c r="AW173" s="58"/>
      <c r="AX173" s="58"/>
      <c r="AY173" s="59"/>
      <c r="AZ173" s="45">
        <f>AF173</f>
        <v>135000</v>
      </c>
      <c r="BA173" s="46"/>
      <c r="BB173" s="46"/>
      <c r="BC173" s="46"/>
      <c r="BD173" s="47"/>
    </row>
    <row r="174" spans="2:56" ht="24.95" customHeight="1" x14ac:dyDescent="0.25">
      <c r="B174" s="3"/>
      <c r="C174" s="60"/>
      <c r="D174" s="61"/>
      <c r="E174" s="61"/>
      <c r="F174" s="61"/>
      <c r="G174" s="61"/>
      <c r="H174" s="61"/>
      <c r="I174" s="61"/>
      <c r="J174" s="62"/>
      <c r="K174" s="42"/>
      <c r="L174" s="43"/>
      <c r="M174" s="44"/>
      <c r="N174" s="51"/>
      <c r="O174" s="52"/>
      <c r="P174" s="52"/>
      <c r="Q174" s="52"/>
      <c r="R174" s="52"/>
      <c r="S174" s="53"/>
      <c r="T174" s="42"/>
      <c r="U174" s="43"/>
      <c r="V174" s="43"/>
      <c r="W174" s="43"/>
      <c r="X174" s="43"/>
      <c r="Y174" s="44"/>
      <c r="Z174" s="42"/>
      <c r="AA174" s="43"/>
      <c r="AB174" s="43"/>
      <c r="AC174" s="43"/>
      <c r="AD174" s="43"/>
      <c r="AE174" s="44"/>
      <c r="AF174" s="54"/>
      <c r="AG174" s="55"/>
      <c r="AH174" s="55"/>
      <c r="AI174" s="55"/>
      <c r="AJ174" s="56"/>
      <c r="AK174" s="57"/>
      <c r="AL174" s="58"/>
      <c r="AM174" s="58"/>
      <c r="AN174" s="58"/>
      <c r="AO174" s="59"/>
      <c r="AP174" s="57"/>
      <c r="AQ174" s="58"/>
      <c r="AR174" s="58"/>
      <c r="AS174" s="58"/>
      <c r="AT174" s="59"/>
      <c r="AU174" s="57"/>
      <c r="AV174" s="58"/>
      <c r="AW174" s="58"/>
      <c r="AX174" s="58"/>
      <c r="AY174" s="59"/>
      <c r="AZ174" s="45"/>
      <c r="BA174" s="46"/>
      <c r="BB174" s="46"/>
      <c r="BC174" s="46"/>
      <c r="BD174" s="47"/>
    </row>
    <row r="175" spans="2:56" ht="24.95" customHeight="1" x14ac:dyDescent="0.25">
      <c r="B175" s="3"/>
      <c r="C175" s="48"/>
      <c r="D175" s="49"/>
      <c r="E175" s="49"/>
      <c r="F175" s="49"/>
      <c r="G175" s="49"/>
      <c r="H175" s="49"/>
      <c r="I175" s="49"/>
      <c r="J175" s="50"/>
      <c r="K175" s="42"/>
      <c r="L175" s="43"/>
      <c r="M175" s="44"/>
      <c r="N175" s="51"/>
      <c r="O175" s="52"/>
      <c r="P175" s="52"/>
      <c r="Q175" s="52"/>
      <c r="R175" s="52"/>
      <c r="S175" s="53"/>
      <c r="T175" s="42"/>
      <c r="U175" s="43"/>
      <c r="V175" s="43"/>
      <c r="W175" s="43"/>
      <c r="X175" s="43"/>
      <c r="Y175" s="44"/>
      <c r="Z175" s="42"/>
      <c r="AA175" s="43"/>
      <c r="AB175" s="43"/>
      <c r="AC175" s="43"/>
      <c r="AD175" s="43"/>
      <c r="AE175" s="44"/>
      <c r="AF175" s="54"/>
      <c r="AG175" s="55"/>
      <c r="AH175" s="55"/>
      <c r="AI175" s="55"/>
      <c r="AJ175" s="56"/>
      <c r="AK175" s="57"/>
      <c r="AL175" s="58"/>
      <c r="AM175" s="58"/>
      <c r="AN175" s="58"/>
      <c r="AO175" s="59"/>
      <c r="AP175" s="57"/>
      <c r="AQ175" s="58"/>
      <c r="AR175" s="58"/>
      <c r="AS175" s="58"/>
      <c r="AT175" s="59"/>
      <c r="AU175" s="57"/>
      <c r="AV175" s="58"/>
      <c r="AW175" s="58"/>
      <c r="AX175" s="58"/>
      <c r="AY175" s="59"/>
      <c r="AZ175" s="45"/>
      <c r="BA175" s="46"/>
      <c r="BB175" s="46"/>
      <c r="BC175" s="46"/>
      <c r="BD175" s="47"/>
    </row>
    <row r="176" spans="2:56" ht="24.95" customHeight="1" x14ac:dyDescent="0.25">
      <c r="B176" s="3"/>
      <c r="C176" s="60"/>
      <c r="D176" s="61"/>
      <c r="E176" s="61"/>
      <c r="F176" s="61"/>
      <c r="G176" s="61"/>
      <c r="H176" s="61"/>
      <c r="I176" s="61"/>
      <c r="J176" s="62"/>
      <c r="K176" s="42"/>
      <c r="L176" s="43"/>
      <c r="M176" s="44"/>
      <c r="N176" s="51"/>
      <c r="O176" s="52"/>
      <c r="P176" s="52"/>
      <c r="Q176" s="52"/>
      <c r="R176" s="52"/>
      <c r="S176" s="53"/>
      <c r="T176" s="42"/>
      <c r="U176" s="43"/>
      <c r="V176" s="43"/>
      <c r="W176" s="43"/>
      <c r="X176" s="43"/>
      <c r="Y176" s="44"/>
      <c r="Z176" s="42"/>
      <c r="AA176" s="43"/>
      <c r="AB176" s="43"/>
      <c r="AC176" s="43"/>
      <c r="AD176" s="43"/>
      <c r="AE176" s="44"/>
      <c r="AF176" s="54"/>
      <c r="AG176" s="55"/>
      <c r="AH176" s="55"/>
      <c r="AI176" s="55"/>
      <c r="AJ176" s="56"/>
      <c r="AK176" s="57"/>
      <c r="AL176" s="58"/>
      <c r="AM176" s="58"/>
      <c r="AN176" s="58"/>
      <c r="AO176" s="59"/>
      <c r="AP176" s="57"/>
      <c r="AQ176" s="58"/>
      <c r="AR176" s="58"/>
      <c r="AS176" s="58"/>
      <c r="AT176" s="59"/>
      <c r="AU176" s="57"/>
      <c r="AV176" s="58"/>
      <c r="AW176" s="58"/>
      <c r="AX176" s="58"/>
      <c r="AY176" s="59"/>
      <c r="AZ176" s="45"/>
      <c r="BA176" s="46"/>
      <c r="BB176" s="46"/>
      <c r="BC176" s="46"/>
      <c r="BD176" s="47"/>
    </row>
    <row r="177" spans="2:65" ht="24.95" customHeight="1" x14ac:dyDescent="0.25">
      <c r="B177" s="3"/>
      <c r="C177" s="38"/>
      <c r="D177" s="38"/>
      <c r="E177" s="38"/>
      <c r="F177" s="38"/>
      <c r="G177" s="38"/>
      <c r="H177" s="38"/>
      <c r="I177" s="38"/>
      <c r="J177" s="38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42"/>
      <c r="AA177" s="43"/>
      <c r="AB177" s="43"/>
      <c r="AC177" s="43"/>
      <c r="AD177" s="43"/>
      <c r="AE177" s="44"/>
      <c r="AF177" s="39"/>
      <c r="AG177" s="39"/>
      <c r="AH177" s="39"/>
      <c r="AI177" s="39"/>
      <c r="AJ177" s="39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5"/>
      <c r="BA177" s="46"/>
      <c r="BB177" s="46"/>
      <c r="BC177" s="46"/>
      <c r="BD177" s="47"/>
    </row>
    <row r="178" spans="2:65" ht="24.95" customHeight="1" x14ac:dyDescent="0.25">
      <c r="B178" s="3"/>
      <c r="C178" s="38"/>
      <c r="D178" s="38"/>
      <c r="E178" s="38"/>
      <c r="F178" s="38"/>
      <c r="G178" s="38"/>
      <c r="H178" s="38"/>
      <c r="I178" s="38"/>
      <c r="J178" s="38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42"/>
      <c r="AA178" s="43"/>
      <c r="AB178" s="43"/>
      <c r="AC178" s="43"/>
      <c r="AD178" s="43"/>
      <c r="AE178" s="44"/>
      <c r="AF178" s="39"/>
      <c r="AG178" s="39"/>
      <c r="AH178" s="39"/>
      <c r="AI178" s="39"/>
      <c r="AJ178" s="39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5"/>
      <c r="BA178" s="46"/>
      <c r="BB178" s="46"/>
      <c r="BC178" s="46"/>
      <c r="BD178" s="47"/>
    </row>
    <row r="179" spans="2:65" ht="24.95" customHeight="1" x14ac:dyDescent="0.25">
      <c r="B179" s="3"/>
      <c r="C179" s="38"/>
      <c r="D179" s="38"/>
      <c r="E179" s="38"/>
      <c r="F179" s="38"/>
      <c r="G179" s="38"/>
      <c r="H179" s="38"/>
      <c r="I179" s="38"/>
      <c r="J179" s="38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42"/>
      <c r="AA179" s="43"/>
      <c r="AB179" s="43"/>
      <c r="AC179" s="43"/>
      <c r="AD179" s="43"/>
      <c r="AE179" s="44"/>
      <c r="AF179" s="39"/>
      <c r="AG179" s="39"/>
      <c r="AH179" s="39"/>
      <c r="AI179" s="39"/>
      <c r="AJ179" s="39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5"/>
      <c r="BA179" s="46"/>
      <c r="BB179" s="46"/>
      <c r="BC179" s="46"/>
      <c r="BD179" s="47"/>
    </row>
    <row r="180" spans="2:65" ht="24.95" customHeight="1" x14ac:dyDescent="0.25">
      <c r="B180" s="3"/>
      <c r="C180" s="38"/>
      <c r="D180" s="38"/>
      <c r="E180" s="38"/>
      <c r="F180" s="38"/>
      <c r="G180" s="38"/>
      <c r="H180" s="38"/>
      <c r="I180" s="38"/>
      <c r="J180" s="38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9"/>
      <c r="AG180" s="39"/>
      <c r="AH180" s="39"/>
      <c r="AI180" s="39"/>
      <c r="AJ180" s="39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1"/>
      <c r="BA180" s="41"/>
      <c r="BB180" s="41"/>
      <c r="BC180" s="41"/>
      <c r="BD180" s="41"/>
    </row>
    <row r="181" spans="2:65" ht="24.95" customHeight="1" x14ac:dyDescent="0.25">
      <c r="B181" s="36" t="s">
        <v>25</v>
      </c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7">
        <f>SUM(AZ173:AZ180)</f>
        <v>135000</v>
      </c>
      <c r="BA181" s="37"/>
      <c r="BB181" s="37"/>
      <c r="BC181" s="37"/>
      <c r="BD181" s="37"/>
    </row>
    <row r="182" spans="2:65" ht="24.95" customHeight="1" x14ac:dyDescent="0.25">
      <c r="B182" s="38" t="s">
        <v>81</v>
      </c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</row>
    <row r="183" spans="2:65" x14ac:dyDescent="0.25">
      <c r="T183" t="s">
        <v>21</v>
      </c>
      <c r="AK183" t="s">
        <v>83</v>
      </c>
    </row>
    <row r="184" spans="2:65" x14ac:dyDescent="0.25">
      <c r="B184" s="4"/>
      <c r="C184" s="4"/>
      <c r="D184" s="4"/>
      <c r="E184" s="4"/>
      <c r="F184" s="4"/>
      <c r="G184" s="4"/>
      <c r="H184" s="4"/>
      <c r="I184" s="4"/>
      <c r="J184" s="4"/>
      <c r="T184" t="s">
        <v>22</v>
      </c>
      <c r="AK184" t="s">
        <v>23</v>
      </c>
      <c r="BB184" t="s">
        <v>8</v>
      </c>
    </row>
    <row r="185" spans="2:65" x14ac:dyDescent="0.25">
      <c r="B185" s="4"/>
      <c r="C185" s="4"/>
      <c r="D185" s="4"/>
      <c r="E185" s="4"/>
      <c r="F185" s="4"/>
      <c r="G185" s="4"/>
      <c r="H185" s="4"/>
      <c r="I185" s="4"/>
      <c r="J185" s="4"/>
    </row>
    <row r="186" spans="2:65" x14ac:dyDescent="0.25">
      <c r="B186" s="4"/>
      <c r="C186" s="4"/>
      <c r="D186" s="4"/>
      <c r="E186" s="4"/>
      <c r="F186" s="4"/>
      <c r="G186" s="4"/>
      <c r="H186" s="4"/>
      <c r="I186" s="4"/>
      <c r="J186" s="4"/>
      <c r="Y186" t="s">
        <v>8</v>
      </c>
      <c r="AR186" t="s">
        <v>8</v>
      </c>
    </row>
    <row r="188" spans="2:65" x14ac:dyDescent="0.25">
      <c r="T188" s="5" t="s">
        <v>101</v>
      </c>
      <c r="AK188" s="5" t="str">
        <f>C173</f>
        <v>Restu Nashyratunisa</v>
      </c>
    </row>
    <row r="189" spans="2:65" x14ac:dyDescent="0.25">
      <c r="T189" t="s">
        <v>28</v>
      </c>
      <c r="BM189" t="s">
        <v>8</v>
      </c>
    </row>
    <row r="192" spans="2:65" ht="18.75" x14ac:dyDescent="0.3">
      <c r="B192" s="70" t="s">
        <v>0</v>
      </c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70"/>
      <c r="AX192" s="70"/>
      <c r="AY192" s="70"/>
      <c r="AZ192" s="70"/>
      <c r="BA192" s="70"/>
      <c r="BB192" s="70"/>
      <c r="BC192" s="70"/>
      <c r="BD192" s="70"/>
    </row>
    <row r="193" spans="2:69" ht="18.75" x14ac:dyDescent="0.3">
      <c r="B193" s="70" t="s">
        <v>1</v>
      </c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70"/>
      <c r="AX193" s="70"/>
      <c r="AY193" s="70"/>
      <c r="AZ193" s="70"/>
      <c r="BA193" s="70"/>
      <c r="BB193" s="70"/>
      <c r="BC193" s="70"/>
      <c r="BD193" s="70"/>
    </row>
    <row r="194" spans="2:69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6" spans="2:69" x14ac:dyDescent="0.25">
      <c r="B196" s="64" t="s">
        <v>2</v>
      </c>
      <c r="C196" s="64"/>
      <c r="D196" s="64"/>
      <c r="E196" s="64"/>
      <c r="F196" s="64"/>
      <c r="G196" s="64"/>
      <c r="H196" s="64"/>
      <c r="I196" s="64"/>
      <c r="J196" s="1" t="s">
        <v>3</v>
      </c>
      <c r="K196" s="64" t="s">
        <v>85</v>
      </c>
      <c r="L196" s="64"/>
      <c r="M196" s="64"/>
      <c r="N196" s="64"/>
      <c r="O196" s="64"/>
      <c r="P196" s="64"/>
      <c r="Q196" s="64"/>
      <c r="R196" s="64"/>
      <c r="S196" s="64"/>
      <c r="AA196" s="64" t="s">
        <v>4</v>
      </c>
      <c r="AB196" s="64"/>
      <c r="AC196" s="64"/>
      <c r="AD196" s="64"/>
      <c r="AE196" s="64"/>
      <c r="AF196" s="64"/>
      <c r="AG196" s="64"/>
      <c r="AH196" t="s">
        <v>3</v>
      </c>
      <c r="AI196" s="65">
        <v>46036</v>
      </c>
      <c r="AJ196" s="65"/>
      <c r="AK196" s="65"/>
      <c r="AL196" s="65"/>
      <c r="AM196" s="65"/>
      <c r="AN196" s="65"/>
      <c r="AO196" s="65"/>
      <c r="AP196" s="65"/>
      <c r="AQ196" s="65"/>
      <c r="AR196" s="65"/>
    </row>
    <row r="197" spans="2:69" x14ac:dyDescent="0.25">
      <c r="B197" s="64" t="s">
        <v>5</v>
      </c>
      <c r="C197" s="64"/>
      <c r="D197" s="64"/>
      <c r="E197" s="64"/>
      <c r="F197" s="64"/>
      <c r="G197" s="64"/>
      <c r="H197" s="64"/>
      <c r="I197" s="64"/>
      <c r="J197" s="1" t="s">
        <v>3</v>
      </c>
      <c r="K197" s="65">
        <v>46036</v>
      </c>
      <c r="L197" s="65"/>
      <c r="M197" s="65"/>
      <c r="N197" s="65"/>
      <c r="O197" s="65"/>
      <c r="P197" s="65"/>
      <c r="Q197" s="65"/>
      <c r="R197" s="65"/>
      <c r="S197" s="65"/>
      <c r="AA197" s="64" t="s">
        <v>6</v>
      </c>
      <c r="AB197" s="64"/>
      <c r="AC197" s="64"/>
      <c r="AD197" s="64"/>
      <c r="AE197" s="64"/>
      <c r="AF197" s="64"/>
      <c r="AG197" s="64"/>
      <c r="AH197" t="s">
        <v>3</v>
      </c>
      <c r="AI197" s="65">
        <v>46036</v>
      </c>
      <c r="AJ197" s="65"/>
      <c r="AK197" s="65"/>
      <c r="AL197" s="65"/>
      <c r="AM197" s="65"/>
      <c r="AN197" s="65"/>
      <c r="AO197" s="65"/>
      <c r="AP197" s="65"/>
      <c r="AQ197" s="65"/>
      <c r="AR197" s="65"/>
    </row>
    <row r="198" spans="2:69" x14ac:dyDescent="0.25">
      <c r="B198" s="64" t="s">
        <v>7</v>
      </c>
      <c r="C198" s="64"/>
      <c r="D198" s="64"/>
      <c r="E198" s="64"/>
      <c r="F198" s="64"/>
      <c r="G198" s="64"/>
      <c r="H198" s="64"/>
      <c r="I198" s="64"/>
      <c r="J198" s="1" t="s">
        <v>3</v>
      </c>
      <c r="K198" s="64" t="s">
        <v>34</v>
      </c>
      <c r="L198" s="64"/>
      <c r="M198" s="64"/>
      <c r="N198" s="64"/>
      <c r="O198" s="64"/>
      <c r="P198" s="64"/>
      <c r="Q198" s="64"/>
      <c r="R198" s="64"/>
      <c r="S198" s="64"/>
      <c r="T198" s="64"/>
      <c r="U198" s="64"/>
    </row>
    <row r="199" spans="2:69" x14ac:dyDescent="0.25">
      <c r="J199" s="1"/>
    </row>
    <row r="200" spans="2:69" ht="30" customHeight="1" x14ac:dyDescent="0.25">
      <c r="B200" s="2" t="s">
        <v>9</v>
      </c>
      <c r="C200" s="36" t="s">
        <v>10</v>
      </c>
      <c r="D200" s="36"/>
      <c r="E200" s="36"/>
      <c r="F200" s="36"/>
      <c r="G200" s="36"/>
      <c r="H200" s="36"/>
      <c r="I200" s="36"/>
      <c r="J200" s="36"/>
      <c r="K200" s="36" t="s">
        <v>11</v>
      </c>
      <c r="L200" s="36"/>
      <c r="M200" s="36"/>
      <c r="N200" s="36" t="s">
        <v>12</v>
      </c>
      <c r="O200" s="36"/>
      <c r="P200" s="36"/>
      <c r="Q200" s="36"/>
      <c r="R200" s="36"/>
      <c r="S200" s="36"/>
      <c r="T200" s="36" t="s">
        <v>24</v>
      </c>
      <c r="U200" s="36"/>
      <c r="V200" s="36"/>
      <c r="W200" s="36"/>
      <c r="X200" s="36"/>
      <c r="Y200" s="36"/>
      <c r="Z200" s="36" t="s">
        <v>14</v>
      </c>
      <c r="AA200" s="36"/>
      <c r="AB200" s="36"/>
      <c r="AC200" s="36"/>
      <c r="AD200" s="36"/>
      <c r="AE200" s="36"/>
      <c r="AF200" s="36" t="s">
        <v>15</v>
      </c>
      <c r="AG200" s="36"/>
      <c r="AH200" s="36"/>
      <c r="AI200" s="36"/>
      <c r="AJ200" s="36"/>
      <c r="AK200" s="63" t="s">
        <v>16</v>
      </c>
      <c r="AL200" s="63"/>
      <c r="AM200" s="63"/>
      <c r="AN200" s="63"/>
      <c r="AO200" s="63"/>
      <c r="AP200" s="63" t="s">
        <v>17</v>
      </c>
      <c r="AQ200" s="63"/>
      <c r="AR200" s="63"/>
      <c r="AS200" s="63"/>
      <c r="AT200" s="63"/>
      <c r="AU200" s="36" t="s">
        <v>18</v>
      </c>
      <c r="AV200" s="36"/>
      <c r="AW200" s="36"/>
      <c r="AX200" s="36"/>
      <c r="AY200" s="36"/>
      <c r="AZ200" s="63" t="s">
        <v>19</v>
      </c>
      <c r="BA200" s="63"/>
      <c r="BB200" s="63"/>
      <c r="BC200" s="63"/>
      <c r="BD200" s="63"/>
    </row>
    <row r="201" spans="2:69" ht="30" customHeight="1" x14ac:dyDescent="0.25">
      <c r="B201" s="3" t="s">
        <v>20</v>
      </c>
      <c r="C201" s="60" t="s">
        <v>35</v>
      </c>
      <c r="D201" s="61"/>
      <c r="E201" s="61"/>
      <c r="F201" s="61"/>
      <c r="G201" s="61"/>
      <c r="H201" s="61"/>
      <c r="I201" s="61"/>
      <c r="J201" s="62"/>
      <c r="K201" s="42">
        <v>1823</v>
      </c>
      <c r="L201" s="43"/>
      <c r="M201" s="44"/>
      <c r="N201" s="51" t="s">
        <v>31</v>
      </c>
      <c r="O201" s="52"/>
      <c r="P201" s="52"/>
      <c r="Q201" s="52"/>
      <c r="R201" s="52"/>
      <c r="S201" s="53"/>
      <c r="T201" s="42" t="s">
        <v>36</v>
      </c>
      <c r="U201" s="43"/>
      <c r="V201" s="43"/>
      <c r="W201" s="43"/>
      <c r="X201" s="43"/>
      <c r="Y201" s="44"/>
      <c r="Z201" s="42" t="s">
        <v>32</v>
      </c>
      <c r="AA201" s="43"/>
      <c r="AB201" s="43"/>
      <c r="AC201" s="43"/>
      <c r="AD201" s="43"/>
      <c r="AE201" s="44"/>
      <c r="AF201" s="54">
        <v>135000</v>
      </c>
      <c r="AG201" s="55"/>
      <c r="AH201" s="55"/>
      <c r="AI201" s="55"/>
      <c r="AJ201" s="56"/>
      <c r="AK201" s="57"/>
      <c r="AL201" s="58"/>
      <c r="AM201" s="58"/>
      <c r="AN201" s="58"/>
      <c r="AO201" s="59"/>
      <c r="AP201" s="57"/>
      <c r="AQ201" s="58"/>
      <c r="AR201" s="58"/>
      <c r="AS201" s="58"/>
      <c r="AT201" s="59"/>
      <c r="AU201" s="57"/>
      <c r="AV201" s="58"/>
      <c r="AW201" s="58"/>
      <c r="AX201" s="58"/>
      <c r="AY201" s="59"/>
      <c r="AZ201" s="45">
        <f>AF201</f>
        <v>135000</v>
      </c>
      <c r="BA201" s="46"/>
      <c r="BB201" s="46"/>
      <c r="BC201" s="46"/>
      <c r="BD201" s="47"/>
    </row>
    <row r="202" spans="2:69" ht="30" customHeight="1" x14ac:dyDescent="0.25">
      <c r="B202" s="3" t="s">
        <v>29</v>
      </c>
      <c r="C202" s="60" t="s">
        <v>52</v>
      </c>
      <c r="D202" s="61"/>
      <c r="E202" s="61"/>
      <c r="F202" s="61"/>
      <c r="G202" s="61"/>
      <c r="H202" s="61"/>
      <c r="I202" s="61"/>
      <c r="J202" s="62"/>
      <c r="K202" s="42">
        <v>1918</v>
      </c>
      <c r="L202" s="43"/>
      <c r="M202" s="44"/>
      <c r="N202" s="51" t="s">
        <v>40</v>
      </c>
      <c r="O202" s="52"/>
      <c r="P202" s="52"/>
      <c r="Q202" s="52"/>
      <c r="R202" s="52"/>
      <c r="S202" s="53"/>
      <c r="T202" s="42" t="s">
        <v>36</v>
      </c>
      <c r="U202" s="43"/>
      <c r="V202" s="43"/>
      <c r="W202" s="43"/>
      <c r="X202" s="43"/>
      <c r="Y202" s="44"/>
      <c r="Z202" s="42" t="s">
        <v>32</v>
      </c>
      <c r="AA202" s="43"/>
      <c r="AB202" s="43"/>
      <c r="AC202" s="43"/>
      <c r="AD202" s="43"/>
      <c r="AE202" s="44"/>
      <c r="AF202" s="54">
        <v>112500</v>
      </c>
      <c r="AG202" s="55"/>
      <c r="AH202" s="55"/>
      <c r="AI202" s="55"/>
      <c r="AJ202" s="56"/>
      <c r="AK202" s="57"/>
      <c r="AL202" s="58"/>
      <c r="AM202" s="58"/>
      <c r="AN202" s="58"/>
      <c r="AO202" s="59"/>
      <c r="AP202" s="57"/>
      <c r="AQ202" s="58"/>
      <c r="AR202" s="58"/>
      <c r="AS202" s="58"/>
      <c r="AT202" s="59"/>
      <c r="AU202" s="57"/>
      <c r="AV202" s="58"/>
      <c r="AW202" s="58"/>
      <c r="AX202" s="58"/>
      <c r="AY202" s="59"/>
      <c r="AZ202" s="45">
        <f>AF202</f>
        <v>112500</v>
      </c>
      <c r="BA202" s="46"/>
      <c r="BB202" s="46"/>
      <c r="BC202" s="46"/>
      <c r="BD202" s="47"/>
    </row>
    <row r="203" spans="2:69" ht="30" customHeight="1" x14ac:dyDescent="0.25">
      <c r="B203" s="3"/>
      <c r="C203" s="48"/>
      <c r="D203" s="49"/>
      <c r="E203" s="49"/>
      <c r="F203" s="49"/>
      <c r="G203" s="49"/>
      <c r="H203" s="49"/>
      <c r="I203" s="49"/>
      <c r="J203" s="50"/>
      <c r="K203" s="42"/>
      <c r="L203" s="43"/>
      <c r="M203" s="44"/>
      <c r="N203" s="51"/>
      <c r="O203" s="52"/>
      <c r="P203" s="52"/>
      <c r="Q203" s="52"/>
      <c r="R203" s="52"/>
      <c r="S203" s="53"/>
      <c r="T203" s="42"/>
      <c r="U203" s="43"/>
      <c r="V203" s="43"/>
      <c r="W203" s="43"/>
      <c r="X203" s="43"/>
      <c r="Y203" s="44"/>
      <c r="Z203" s="42"/>
      <c r="AA203" s="43"/>
      <c r="AB203" s="43"/>
      <c r="AC203" s="43"/>
      <c r="AD203" s="43"/>
      <c r="AE203" s="44"/>
      <c r="AF203" s="54"/>
      <c r="AG203" s="55"/>
      <c r="AH203" s="55"/>
      <c r="AI203" s="55"/>
      <c r="AJ203" s="56"/>
      <c r="AK203" s="57"/>
      <c r="AL203" s="58"/>
      <c r="AM203" s="58"/>
      <c r="AN203" s="58"/>
      <c r="AO203" s="59"/>
      <c r="AP203" s="57"/>
      <c r="AQ203" s="58"/>
      <c r="AR203" s="58"/>
      <c r="AS203" s="58"/>
      <c r="AT203" s="59"/>
      <c r="AU203" s="57"/>
      <c r="AV203" s="58"/>
      <c r="AW203" s="58"/>
      <c r="AX203" s="58"/>
      <c r="AY203" s="59"/>
      <c r="AZ203" s="45"/>
      <c r="BA203" s="46"/>
      <c r="BB203" s="46"/>
      <c r="BC203" s="46"/>
      <c r="BD203" s="47"/>
    </row>
    <row r="204" spans="2:69" ht="30" customHeight="1" x14ac:dyDescent="0.25">
      <c r="B204" s="3"/>
      <c r="C204" s="60"/>
      <c r="D204" s="61"/>
      <c r="E204" s="61"/>
      <c r="F204" s="61"/>
      <c r="G204" s="61"/>
      <c r="H204" s="61"/>
      <c r="I204" s="61"/>
      <c r="J204" s="62"/>
      <c r="K204" s="42"/>
      <c r="L204" s="43"/>
      <c r="M204" s="44"/>
      <c r="N204" s="51"/>
      <c r="O204" s="52"/>
      <c r="P204" s="52"/>
      <c r="Q204" s="52"/>
      <c r="R204" s="52"/>
      <c r="S204" s="53"/>
      <c r="T204" s="42"/>
      <c r="U204" s="43"/>
      <c r="V204" s="43"/>
      <c r="W204" s="43"/>
      <c r="X204" s="43"/>
      <c r="Y204" s="44"/>
      <c r="Z204" s="42"/>
      <c r="AA204" s="43"/>
      <c r="AB204" s="43"/>
      <c r="AC204" s="43"/>
      <c r="AD204" s="43"/>
      <c r="AE204" s="44"/>
      <c r="AF204" s="54"/>
      <c r="AG204" s="55"/>
      <c r="AH204" s="55"/>
      <c r="AI204" s="55"/>
      <c r="AJ204" s="56"/>
      <c r="AK204" s="57"/>
      <c r="AL204" s="58"/>
      <c r="AM204" s="58"/>
      <c r="AN204" s="58"/>
      <c r="AO204" s="59"/>
      <c r="AP204" s="57"/>
      <c r="AQ204" s="58"/>
      <c r="AR204" s="58"/>
      <c r="AS204" s="58"/>
      <c r="AT204" s="59"/>
      <c r="AU204" s="57"/>
      <c r="AV204" s="58"/>
      <c r="AW204" s="58"/>
      <c r="AX204" s="58"/>
      <c r="AY204" s="59"/>
      <c r="AZ204" s="45"/>
      <c r="BA204" s="46"/>
      <c r="BB204" s="46"/>
      <c r="BC204" s="46"/>
      <c r="BD204" s="47"/>
      <c r="BQ204" t="s">
        <v>8</v>
      </c>
    </row>
    <row r="205" spans="2:69" ht="30" customHeight="1" x14ac:dyDescent="0.25">
      <c r="B205" s="3"/>
      <c r="C205" s="38"/>
      <c r="D205" s="38"/>
      <c r="E205" s="38"/>
      <c r="F205" s="38"/>
      <c r="G205" s="38"/>
      <c r="H205" s="38"/>
      <c r="I205" s="38"/>
      <c r="J205" s="38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42"/>
      <c r="AA205" s="43"/>
      <c r="AB205" s="43"/>
      <c r="AC205" s="43"/>
      <c r="AD205" s="43"/>
      <c r="AE205" s="44"/>
      <c r="AF205" s="39"/>
      <c r="AG205" s="39"/>
      <c r="AH205" s="39"/>
      <c r="AI205" s="39"/>
      <c r="AJ205" s="39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5"/>
      <c r="BA205" s="46"/>
      <c r="BB205" s="46"/>
      <c r="BC205" s="46"/>
      <c r="BD205" s="47"/>
    </row>
    <row r="206" spans="2:69" ht="30" customHeight="1" x14ac:dyDescent="0.25">
      <c r="B206" s="3"/>
      <c r="C206" s="38"/>
      <c r="D206" s="38"/>
      <c r="E206" s="38"/>
      <c r="F206" s="38"/>
      <c r="G206" s="38"/>
      <c r="H206" s="38"/>
      <c r="I206" s="38"/>
      <c r="J206" s="38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42"/>
      <c r="AA206" s="43"/>
      <c r="AB206" s="43"/>
      <c r="AC206" s="43"/>
      <c r="AD206" s="43"/>
      <c r="AE206" s="44"/>
      <c r="AF206" s="39"/>
      <c r="AG206" s="39"/>
      <c r="AH206" s="39"/>
      <c r="AI206" s="39"/>
      <c r="AJ206" s="39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5"/>
      <c r="BA206" s="46"/>
      <c r="BB206" s="46"/>
      <c r="BC206" s="46"/>
      <c r="BD206" s="47"/>
    </row>
    <row r="207" spans="2:69" ht="30" customHeight="1" x14ac:dyDescent="0.25">
      <c r="B207" s="3"/>
      <c r="C207" s="38"/>
      <c r="D207" s="38"/>
      <c r="E207" s="38"/>
      <c r="F207" s="38"/>
      <c r="G207" s="38"/>
      <c r="H207" s="38"/>
      <c r="I207" s="38"/>
      <c r="J207" s="38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42"/>
      <c r="AA207" s="43"/>
      <c r="AB207" s="43"/>
      <c r="AC207" s="43"/>
      <c r="AD207" s="43"/>
      <c r="AE207" s="44"/>
      <c r="AF207" s="39"/>
      <c r="AG207" s="39"/>
      <c r="AH207" s="39"/>
      <c r="AI207" s="39"/>
      <c r="AJ207" s="39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5"/>
      <c r="BA207" s="46"/>
      <c r="BB207" s="46"/>
      <c r="BC207" s="46"/>
      <c r="BD207" s="47"/>
    </row>
    <row r="208" spans="2:69" ht="30" customHeight="1" x14ac:dyDescent="0.25">
      <c r="B208" s="3"/>
      <c r="C208" s="38"/>
      <c r="D208" s="38"/>
      <c r="E208" s="38"/>
      <c r="F208" s="38"/>
      <c r="G208" s="38"/>
      <c r="H208" s="38"/>
      <c r="I208" s="38"/>
      <c r="J208" s="38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9"/>
      <c r="AG208" s="39"/>
      <c r="AH208" s="39"/>
      <c r="AI208" s="39"/>
      <c r="AJ208" s="39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1"/>
      <c r="BA208" s="41"/>
      <c r="BB208" s="41"/>
      <c r="BC208" s="41"/>
      <c r="BD208" s="41"/>
    </row>
    <row r="209" spans="2:56" ht="30" customHeight="1" x14ac:dyDescent="0.25">
      <c r="B209" s="36" t="s">
        <v>25</v>
      </c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7">
        <f>SUM(AZ201:AZ208)</f>
        <v>247500</v>
      </c>
      <c r="BA209" s="37"/>
      <c r="BB209" s="37"/>
      <c r="BC209" s="37"/>
      <c r="BD209" s="37"/>
    </row>
    <row r="210" spans="2:56" ht="30" customHeight="1" x14ac:dyDescent="0.25">
      <c r="B210" s="38" t="s">
        <v>84</v>
      </c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</row>
    <row r="211" spans="2:56" x14ac:dyDescent="0.25">
      <c r="T211" t="s">
        <v>21</v>
      </c>
      <c r="AK211" t="s">
        <v>86</v>
      </c>
    </row>
    <row r="212" spans="2:56" x14ac:dyDescent="0.25">
      <c r="B212" s="4"/>
      <c r="C212" s="4"/>
      <c r="D212" s="4"/>
      <c r="E212" s="4"/>
      <c r="F212" s="4"/>
      <c r="G212" s="4"/>
      <c r="H212" s="4"/>
      <c r="I212" s="4"/>
      <c r="J212" s="4"/>
      <c r="T212" t="s">
        <v>22</v>
      </c>
      <c r="AK212" t="s">
        <v>23</v>
      </c>
      <c r="BB212" t="s">
        <v>8</v>
      </c>
    </row>
    <row r="213" spans="2:56" x14ac:dyDescent="0.25">
      <c r="B213" s="4"/>
      <c r="C213" s="4"/>
      <c r="D213" s="4"/>
      <c r="E213" s="4"/>
      <c r="F213" s="4"/>
      <c r="G213" s="4"/>
      <c r="H213" s="4"/>
      <c r="I213" s="4"/>
      <c r="J213" s="4"/>
    </row>
    <row r="214" spans="2:56" x14ac:dyDescent="0.25">
      <c r="B214" s="4"/>
      <c r="C214" s="4"/>
      <c r="D214" s="4"/>
      <c r="E214" s="4"/>
      <c r="F214" s="4"/>
      <c r="G214" s="4"/>
      <c r="H214" s="4"/>
      <c r="I214" s="4"/>
      <c r="J214" s="4"/>
      <c r="Y214" t="s">
        <v>8</v>
      </c>
      <c r="AR214" t="s">
        <v>8</v>
      </c>
    </row>
    <row r="216" spans="2:56" x14ac:dyDescent="0.25">
      <c r="T216" s="5" t="s">
        <v>101</v>
      </c>
      <c r="AK216" s="5" t="str">
        <f>C201</f>
        <v>Restu Nashyratunisa</v>
      </c>
    </row>
    <row r="217" spans="2:56" x14ac:dyDescent="0.25">
      <c r="T217" t="s">
        <v>28</v>
      </c>
    </row>
    <row r="218" spans="2:56" ht="18.75" x14ac:dyDescent="0.3">
      <c r="B218" s="70" t="s">
        <v>0</v>
      </c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70"/>
      <c r="AX218" s="70"/>
      <c r="AY218" s="70"/>
      <c r="AZ218" s="70"/>
      <c r="BA218" s="70"/>
      <c r="BB218" s="70"/>
      <c r="BC218" s="70"/>
      <c r="BD218" s="70"/>
    </row>
    <row r="219" spans="2:56" ht="18.75" x14ac:dyDescent="0.3">
      <c r="B219" s="70" t="s">
        <v>1</v>
      </c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70"/>
      <c r="AX219" s="70"/>
      <c r="AY219" s="70"/>
      <c r="AZ219" s="70"/>
      <c r="BA219" s="70"/>
      <c r="BB219" s="70"/>
      <c r="BC219" s="70"/>
      <c r="BD219" s="70"/>
    </row>
    <row r="220" spans="2:56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2" spans="2:56" x14ac:dyDescent="0.25">
      <c r="B222" s="64" t="s">
        <v>2</v>
      </c>
      <c r="C222" s="64"/>
      <c r="D222" s="64"/>
      <c r="E222" s="64"/>
      <c r="F222" s="64"/>
      <c r="G222" s="64"/>
      <c r="H222" s="64"/>
      <c r="I222" s="64"/>
      <c r="J222" s="1" t="s">
        <v>3</v>
      </c>
      <c r="K222" s="64" t="s">
        <v>97</v>
      </c>
      <c r="L222" s="64"/>
      <c r="M222" s="64"/>
      <c r="N222" s="64"/>
      <c r="O222" s="64"/>
      <c r="P222" s="64"/>
      <c r="Q222" s="64"/>
      <c r="R222" s="64"/>
      <c r="S222" s="64"/>
      <c r="AA222" s="64" t="s">
        <v>4</v>
      </c>
      <c r="AB222" s="64"/>
      <c r="AC222" s="64"/>
      <c r="AD222" s="64"/>
      <c r="AE222" s="64"/>
      <c r="AF222" s="64"/>
      <c r="AG222" s="64"/>
      <c r="AH222" t="s">
        <v>3</v>
      </c>
      <c r="AI222" s="65">
        <v>46062</v>
      </c>
      <c r="AJ222" s="65"/>
      <c r="AK222" s="65"/>
      <c r="AL222" s="65"/>
      <c r="AM222" s="65"/>
      <c r="AN222" s="65"/>
      <c r="AO222" s="65"/>
      <c r="AP222" s="65"/>
      <c r="AQ222" s="65"/>
      <c r="AR222" s="65"/>
    </row>
    <row r="223" spans="2:56" x14ac:dyDescent="0.25">
      <c r="B223" s="64" t="s">
        <v>5</v>
      </c>
      <c r="C223" s="64"/>
      <c r="D223" s="64"/>
      <c r="E223" s="64"/>
      <c r="F223" s="64"/>
      <c r="G223" s="64"/>
      <c r="H223" s="64"/>
      <c r="I223" s="64"/>
      <c r="J223" s="1" t="s">
        <v>3</v>
      </c>
      <c r="K223" s="65">
        <v>46062</v>
      </c>
      <c r="L223" s="65"/>
      <c r="M223" s="65"/>
      <c r="N223" s="65"/>
      <c r="O223" s="65"/>
      <c r="P223" s="65"/>
      <c r="Q223" s="65"/>
      <c r="R223" s="65"/>
      <c r="S223" s="65"/>
      <c r="AA223" s="64" t="s">
        <v>6</v>
      </c>
      <c r="AB223" s="64"/>
      <c r="AC223" s="64"/>
      <c r="AD223" s="64"/>
      <c r="AE223" s="64"/>
      <c r="AF223" s="64"/>
      <c r="AG223" s="64"/>
      <c r="AH223" t="s">
        <v>3</v>
      </c>
      <c r="AI223" s="65">
        <v>46062</v>
      </c>
      <c r="AJ223" s="65"/>
      <c r="AK223" s="65"/>
      <c r="AL223" s="65"/>
      <c r="AM223" s="65"/>
      <c r="AN223" s="65"/>
      <c r="AO223" s="65"/>
      <c r="AP223" s="65"/>
      <c r="AQ223" s="65"/>
      <c r="AR223" s="65"/>
    </row>
    <row r="224" spans="2:56" x14ac:dyDescent="0.25">
      <c r="B224" s="64" t="s">
        <v>7</v>
      </c>
      <c r="C224" s="64"/>
      <c r="D224" s="64"/>
      <c r="E224" s="64"/>
      <c r="F224" s="64"/>
      <c r="G224" s="64"/>
      <c r="H224" s="64"/>
      <c r="I224" s="64"/>
      <c r="J224" s="1" t="s">
        <v>3</v>
      </c>
      <c r="K224" s="64" t="s">
        <v>38</v>
      </c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W224" t="s">
        <v>8</v>
      </c>
    </row>
    <row r="225" spans="2:64" x14ac:dyDescent="0.25">
      <c r="J225" s="1"/>
    </row>
    <row r="226" spans="2:64" ht="30" customHeight="1" x14ac:dyDescent="0.25">
      <c r="B226" s="2" t="s">
        <v>9</v>
      </c>
      <c r="C226" s="36" t="s">
        <v>10</v>
      </c>
      <c r="D226" s="36"/>
      <c r="E226" s="36"/>
      <c r="F226" s="36"/>
      <c r="G226" s="36"/>
      <c r="H226" s="36"/>
      <c r="I226" s="36"/>
      <c r="J226" s="36"/>
      <c r="K226" s="36" t="s">
        <v>11</v>
      </c>
      <c r="L226" s="36"/>
      <c r="M226" s="36"/>
      <c r="N226" s="36" t="s">
        <v>12</v>
      </c>
      <c r="O226" s="36"/>
      <c r="P226" s="36"/>
      <c r="Q226" s="36"/>
      <c r="R226" s="36"/>
      <c r="S226" s="36"/>
      <c r="T226" s="36" t="s">
        <v>24</v>
      </c>
      <c r="U226" s="36"/>
      <c r="V226" s="36"/>
      <c r="W226" s="36"/>
      <c r="X226" s="36"/>
      <c r="Y226" s="36"/>
      <c r="Z226" s="36" t="s">
        <v>14</v>
      </c>
      <c r="AA226" s="36"/>
      <c r="AB226" s="36"/>
      <c r="AC226" s="36"/>
      <c r="AD226" s="36"/>
      <c r="AE226" s="36"/>
      <c r="AF226" s="36" t="s">
        <v>15</v>
      </c>
      <c r="AG226" s="36"/>
      <c r="AH226" s="36"/>
      <c r="AI226" s="36"/>
      <c r="AJ226" s="36"/>
      <c r="AK226" s="63" t="s">
        <v>16</v>
      </c>
      <c r="AL226" s="63"/>
      <c r="AM226" s="63"/>
      <c r="AN226" s="63"/>
      <c r="AO226" s="63"/>
      <c r="AP226" s="63" t="s">
        <v>17</v>
      </c>
      <c r="AQ226" s="63"/>
      <c r="AR226" s="63"/>
      <c r="AS226" s="63"/>
      <c r="AT226" s="63"/>
      <c r="AU226" s="36" t="s">
        <v>18</v>
      </c>
      <c r="AV226" s="36"/>
      <c r="AW226" s="36"/>
      <c r="AX226" s="36"/>
      <c r="AY226" s="36"/>
      <c r="AZ226" s="63" t="s">
        <v>19</v>
      </c>
      <c r="BA226" s="63"/>
      <c r="BB226" s="63"/>
      <c r="BC226" s="63"/>
      <c r="BD226" s="63"/>
    </row>
    <row r="227" spans="2:64" ht="30" customHeight="1" x14ac:dyDescent="0.25">
      <c r="B227" s="3" t="s">
        <v>20</v>
      </c>
      <c r="C227" s="60" t="s">
        <v>90</v>
      </c>
      <c r="D227" s="61"/>
      <c r="E227" s="61"/>
      <c r="F227" s="61"/>
      <c r="G227" s="61"/>
      <c r="H227" s="61"/>
      <c r="I227" s="61"/>
      <c r="J227" s="62"/>
      <c r="K227" s="42">
        <v>1797</v>
      </c>
      <c r="L227" s="43"/>
      <c r="M227" s="44"/>
      <c r="N227" s="51" t="s">
        <v>31</v>
      </c>
      <c r="O227" s="52"/>
      <c r="P227" s="52"/>
      <c r="Q227" s="52"/>
      <c r="R227" s="52"/>
      <c r="S227" s="53"/>
      <c r="T227" s="42" t="s">
        <v>36</v>
      </c>
      <c r="U227" s="43"/>
      <c r="V227" s="43"/>
      <c r="W227" s="43"/>
      <c r="X227" s="43"/>
      <c r="Y227" s="44"/>
      <c r="Z227" s="42" t="s">
        <v>33</v>
      </c>
      <c r="AA227" s="43"/>
      <c r="AB227" s="43"/>
      <c r="AC227" s="43"/>
      <c r="AD227" s="43"/>
      <c r="AE227" s="44"/>
      <c r="AF227" s="54">
        <v>90000</v>
      </c>
      <c r="AG227" s="55"/>
      <c r="AH227" s="55"/>
      <c r="AI227" s="55"/>
      <c r="AJ227" s="56"/>
      <c r="AK227" s="57"/>
      <c r="AL227" s="58"/>
      <c r="AM227" s="58"/>
      <c r="AN227" s="58"/>
      <c r="AO227" s="59"/>
      <c r="AP227" s="57"/>
      <c r="AQ227" s="58"/>
      <c r="AR227" s="58"/>
      <c r="AS227" s="58"/>
      <c r="AT227" s="59"/>
      <c r="AU227" s="57"/>
      <c r="AV227" s="58"/>
      <c r="AW227" s="58"/>
      <c r="AX227" s="58"/>
      <c r="AY227" s="59"/>
      <c r="AZ227" s="45">
        <f>AF227</f>
        <v>90000</v>
      </c>
      <c r="BA227" s="46"/>
      <c r="BB227" s="46"/>
      <c r="BC227" s="46"/>
      <c r="BD227" s="47"/>
    </row>
    <row r="228" spans="2:64" ht="30" customHeight="1" x14ac:dyDescent="0.25">
      <c r="B228" s="3" t="s">
        <v>29</v>
      </c>
      <c r="C228" s="60" t="s">
        <v>98</v>
      </c>
      <c r="D228" s="61"/>
      <c r="E228" s="61"/>
      <c r="F228" s="61"/>
      <c r="G228" s="61"/>
      <c r="H228" s="61"/>
      <c r="I228" s="61"/>
      <c r="J228" s="62"/>
      <c r="K228" s="42">
        <v>2012</v>
      </c>
      <c r="L228" s="43"/>
      <c r="M228" s="44"/>
      <c r="N228" s="51" t="s">
        <v>40</v>
      </c>
      <c r="O228" s="52"/>
      <c r="P228" s="52"/>
      <c r="Q228" s="52"/>
      <c r="R228" s="52"/>
      <c r="S228" s="53"/>
      <c r="T228" s="42" t="s">
        <v>36</v>
      </c>
      <c r="U228" s="43"/>
      <c r="V228" s="43"/>
      <c r="W228" s="43"/>
      <c r="X228" s="43"/>
      <c r="Y228" s="44"/>
      <c r="Z228" s="42" t="s">
        <v>33</v>
      </c>
      <c r="AA228" s="43"/>
      <c r="AB228" s="43"/>
      <c r="AC228" s="43"/>
      <c r="AD228" s="43"/>
      <c r="AE228" s="44"/>
      <c r="AF228" s="54">
        <v>75000</v>
      </c>
      <c r="AG228" s="55"/>
      <c r="AH228" s="55"/>
      <c r="AI228" s="55"/>
      <c r="AJ228" s="56"/>
      <c r="AK228" s="57"/>
      <c r="AL228" s="58"/>
      <c r="AM228" s="58"/>
      <c r="AN228" s="58"/>
      <c r="AO228" s="59"/>
      <c r="AP228" s="57"/>
      <c r="AQ228" s="58"/>
      <c r="AR228" s="58"/>
      <c r="AS228" s="58"/>
      <c r="AT228" s="59"/>
      <c r="AU228" s="57"/>
      <c r="AV228" s="58"/>
      <c r="AW228" s="58"/>
      <c r="AX228" s="58"/>
      <c r="AY228" s="59"/>
      <c r="AZ228" s="45">
        <f>AF228</f>
        <v>75000</v>
      </c>
      <c r="BA228" s="46"/>
      <c r="BB228" s="46"/>
      <c r="BC228" s="46"/>
      <c r="BD228" s="47"/>
    </row>
    <row r="229" spans="2:64" ht="30" customHeight="1" x14ac:dyDescent="0.25">
      <c r="B229" s="3"/>
      <c r="C229" s="48"/>
      <c r="D229" s="49"/>
      <c r="E229" s="49"/>
      <c r="F229" s="49"/>
      <c r="G229" s="49"/>
      <c r="H229" s="49"/>
      <c r="I229" s="49"/>
      <c r="J229" s="50"/>
      <c r="K229" s="42"/>
      <c r="L229" s="43"/>
      <c r="M229" s="44"/>
      <c r="N229" s="51"/>
      <c r="O229" s="52"/>
      <c r="P229" s="52"/>
      <c r="Q229" s="52"/>
      <c r="R229" s="52"/>
      <c r="S229" s="53"/>
      <c r="T229" s="42"/>
      <c r="U229" s="43"/>
      <c r="V229" s="43"/>
      <c r="W229" s="43"/>
      <c r="X229" s="43"/>
      <c r="Y229" s="44"/>
      <c r="Z229" s="42"/>
      <c r="AA229" s="43"/>
      <c r="AB229" s="43"/>
      <c r="AC229" s="43"/>
      <c r="AD229" s="43"/>
      <c r="AE229" s="44"/>
      <c r="AF229" s="54"/>
      <c r="AG229" s="55"/>
      <c r="AH229" s="55"/>
      <c r="AI229" s="55"/>
      <c r="AJ229" s="56"/>
      <c r="AK229" s="57"/>
      <c r="AL229" s="58"/>
      <c r="AM229" s="58"/>
      <c r="AN229" s="58"/>
      <c r="AO229" s="59"/>
      <c r="AP229" s="57"/>
      <c r="AQ229" s="58"/>
      <c r="AR229" s="58"/>
      <c r="AS229" s="58"/>
      <c r="AT229" s="59"/>
      <c r="AU229" s="57"/>
      <c r="AV229" s="58"/>
      <c r="AW229" s="58"/>
      <c r="AX229" s="58"/>
      <c r="AY229" s="59"/>
      <c r="AZ229" s="45"/>
      <c r="BA229" s="46"/>
      <c r="BB229" s="46"/>
      <c r="BC229" s="46"/>
      <c r="BD229" s="47"/>
    </row>
    <row r="230" spans="2:64" ht="30" customHeight="1" x14ac:dyDescent="0.25">
      <c r="B230" s="3"/>
      <c r="C230" s="60"/>
      <c r="D230" s="61"/>
      <c r="E230" s="61"/>
      <c r="F230" s="61"/>
      <c r="G230" s="61"/>
      <c r="H230" s="61"/>
      <c r="I230" s="61"/>
      <c r="J230" s="62"/>
      <c r="K230" s="42"/>
      <c r="L230" s="43"/>
      <c r="M230" s="44"/>
      <c r="N230" s="51"/>
      <c r="O230" s="52"/>
      <c r="P230" s="52"/>
      <c r="Q230" s="52"/>
      <c r="R230" s="52"/>
      <c r="S230" s="53"/>
      <c r="T230" s="42"/>
      <c r="U230" s="43"/>
      <c r="V230" s="43"/>
      <c r="W230" s="43"/>
      <c r="X230" s="43"/>
      <c r="Y230" s="44"/>
      <c r="Z230" s="42"/>
      <c r="AA230" s="43"/>
      <c r="AB230" s="43"/>
      <c r="AC230" s="43"/>
      <c r="AD230" s="43"/>
      <c r="AE230" s="44"/>
      <c r="AF230" s="54"/>
      <c r="AG230" s="55"/>
      <c r="AH230" s="55"/>
      <c r="AI230" s="55"/>
      <c r="AJ230" s="56"/>
      <c r="AK230" s="57"/>
      <c r="AL230" s="58"/>
      <c r="AM230" s="58"/>
      <c r="AN230" s="58"/>
      <c r="AO230" s="59"/>
      <c r="AP230" s="57"/>
      <c r="AQ230" s="58"/>
      <c r="AR230" s="58"/>
      <c r="AS230" s="58"/>
      <c r="AT230" s="59"/>
      <c r="AU230" s="57"/>
      <c r="AV230" s="58"/>
      <c r="AW230" s="58"/>
      <c r="AX230" s="58"/>
      <c r="AY230" s="59"/>
      <c r="AZ230" s="45"/>
      <c r="BA230" s="46"/>
      <c r="BB230" s="46"/>
      <c r="BC230" s="46"/>
      <c r="BD230" s="47"/>
    </row>
    <row r="231" spans="2:64" ht="30" customHeight="1" x14ac:dyDescent="0.25">
      <c r="B231" s="3"/>
      <c r="C231" s="38"/>
      <c r="D231" s="38"/>
      <c r="E231" s="38"/>
      <c r="F231" s="38"/>
      <c r="G231" s="38"/>
      <c r="H231" s="38"/>
      <c r="I231" s="38"/>
      <c r="J231" s="38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42"/>
      <c r="AA231" s="43"/>
      <c r="AB231" s="43"/>
      <c r="AC231" s="43"/>
      <c r="AD231" s="43"/>
      <c r="AE231" s="44"/>
      <c r="AF231" s="39"/>
      <c r="AG231" s="39"/>
      <c r="AH231" s="39"/>
      <c r="AI231" s="39"/>
      <c r="AJ231" s="39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5"/>
      <c r="BA231" s="46"/>
      <c r="BB231" s="46"/>
      <c r="BC231" s="46"/>
      <c r="BD231" s="47"/>
    </row>
    <row r="232" spans="2:64" ht="30" customHeight="1" x14ac:dyDescent="0.25">
      <c r="B232" s="3"/>
      <c r="C232" s="38"/>
      <c r="D232" s="38"/>
      <c r="E232" s="38"/>
      <c r="F232" s="38"/>
      <c r="G232" s="38"/>
      <c r="H232" s="38"/>
      <c r="I232" s="38"/>
      <c r="J232" s="38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9" t="s">
        <v>8</v>
      </c>
      <c r="AG232" s="39"/>
      <c r="AH232" s="39"/>
      <c r="AI232" s="39"/>
      <c r="AJ232" s="39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1"/>
      <c r="BA232" s="41"/>
      <c r="BB232" s="41"/>
      <c r="BC232" s="41"/>
      <c r="BD232" s="41"/>
    </row>
    <row r="233" spans="2:64" ht="30" customHeight="1" x14ac:dyDescent="0.25">
      <c r="B233" s="3"/>
      <c r="C233" s="38"/>
      <c r="D233" s="38"/>
      <c r="E233" s="38"/>
      <c r="F233" s="38"/>
      <c r="G233" s="38"/>
      <c r="H233" s="38"/>
      <c r="I233" s="38"/>
      <c r="J233" s="38"/>
      <c r="K233" s="36"/>
      <c r="L233" s="36"/>
      <c r="M233" s="36"/>
      <c r="N233" s="36"/>
      <c r="O233" s="36"/>
      <c r="P233" s="36"/>
      <c r="Q233" s="36"/>
      <c r="R233" s="36"/>
      <c r="S233" s="36"/>
      <c r="T233" s="36" t="s">
        <v>8</v>
      </c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9"/>
      <c r="AG233" s="39"/>
      <c r="AH233" s="39"/>
      <c r="AI233" s="39"/>
      <c r="AJ233" s="39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1"/>
      <c r="BA233" s="41"/>
      <c r="BB233" s="41"/>
      <c r="BC233" s="41"/>
      <c r="BD233" s="41"/>
    </row>
    <row r="234" spans="2:64" ht="30" customHeight="1" x14ac:dyDescent="0.25">
      <c r="B234" s="3"/>
      <c r="C234" s="38"/>
      <c r="D234" s="38"/>
      <c r="E234" s="38"/>
      <c r="F234" s="38"/>
      <c r="G234" s="38"/>
      <c r="H234" s="38"/>
      <c r="I234" s="38"/>
      <c r="J234" s="38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9"/>
      <c r="AG234" s="39"/>
      <c r="AH234" s="39"/>
      <c r="AI234" s="39"/>
      <c r="AJ234" s="39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1"/>
      <c r="BA234" s="41"/>
      <c r="BB234" s="41"/>
      <c r="BC234" s="41"/>
      <c r="BD234" s="41"/>
    </row>
    <row r="235" spans="2:64" ht="30" customHeight="1" x14ac:dyDescent="0.25">
      <c r="B235" s="36" t="s">
        <v>25</v>
      </c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7">
        <f>SUM(AZ227:AZ234)</f>
        <v>165000</v>
      </c>
      <c r="BA235" s="37"/>
      <c r="BB235" s="37"/>
      <c r="BC235" s="37"/>
      <c r="BD235" s="37"/>
      <c r="BL235" t="s">
        <v>8</v>
      </c>
    </row>
    <row r="236" spans="2:64" ht="30" customHeight="1" x14ac:dyDescent="0.25">
      <c r="B236" s="38" t="s">
        <v>99</v>
      </c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</row>
    <row r="237" spans="2:64" x14ac:dyDescent="0.25">
      <c r="T237" t="s">
        <v>21</v>
      </c>
      <c r="AK237" t="s">
        <v>100</v>
      </c>
    </row>
    <row r="238" spans="2:64" x14ac:dyDescent="0.25">
      <c r="B238" s="4"/>
      <c r="C238" s="4"/>
      <c r="D238" s="4"/>
      <c r="E238" s="4"/>
      <c r="F238" s="4"/>
      <c r="G238" s="4"/>
      <c r="H238" s="4"/>
      <c r="I238" s="4"/>
      <c r="J238" s="4"/>
      <c r="T238" t="s">
        <v>22</v>
      </c>
      <c r="AK238" t="s">
        <v>23</v>
      </c>
      <c r="BB238" t="s">
        <v>8</v>
      </c>
    </row>
    <row r="239" spans="2:64" x14ac:dyDescent="0.25">
      <c r="B239" s="4"/>
      <c r="C239" s="4"/>
      <c r="D239" s="4"/>
      <c r="E239" s="4"/>
      <c r="F239" s="4"/>
      <c r="G239" s="4"/>
      <c r="H239" s="4"/>
      <c r="I239" s="4"/>
      <c r="J239" s="4"/>
    </row>
    <row r="240" spans="2:64" x14ac:dyDescent="0.25">
      <c r="B240" s="4"/>
      <c r="C240" s="4"/>
      <c r="D240" s="4"/>
      <c r="E240" s="4"/>
      <c r="F240" s="4"/>
      <c r="G240" s="4"/>
      <c r="H240" s="4"/>
      <c r="I240" s="4"/>
      <c r="J240" s="4"/>
      <c r="Y240" t="s">
        <v>8</v>
      </c>
      <c r="AR240" t="s">
        <v>8</v>
      </c>
    </row>
    <row r="242" spans="2:65" x14ac:dyDescent="0.25">
      <c r="T242" s="5" t="s">
        <v>101</v>
      </c>
      <c r="AK242" s="5" t="str">
        <f>C227</f>
        <v>Yosi Rosmini</v>
      </c>
    </row>
    <row r="243" spans="2:65" x14ac:dyDescent="0.25">
      <c r="T243" t="s">
        <v>51</v>
      </c>
    </row>
    <row r="244" spans="2:65" ht="18.75" x14ac:dyDescent="0.3">
      <c r="B244" s="70" t="s">
        <v>0</v>
      </c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0"/>
      <c r="AX244" s="70"/>
      <c r="AY244" s="70"/>
      <c r="AZ244" s="70"/>
      <c r="BA244" s="70"/>
      <c r="BB244" s="70"/>
      <c r="BC244" s="70"/>
      <c r="BD244" s="70"/>
    </row>
    <row r="245" spans="2:65" ht="18.75" x14ac:dyDescent="0.3">
      <c r="B245" s="70" t="s">
        <v>1</v>
      </c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0"/>
      <c r="AX245" s="70"/>
      <c r="AY245" s="70"/>
      <c r="AZ245" s="70"/>
      <c r="BA245" s="70"/>
      <c r="BB245" s="70"/>
      <c r="BC245" s="70"/>
      <c r="BD245" s="70"/>
    </row>
    <row r="246" spans="2:65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8" spans="2:65" x14ac:dyDescent="0.25">
      <c r="B248" s="64" t="s">
        <v>2</v>
      </c>
      <c r="C248" s="64"/>
      <c r="D248" s="64"/>
      <c r="E248" s="64"/>
      <c r="F248" s="64"/>
      <c r="G248" s="64"/>
      <c r="H248" s="64"/>
      <c r="I248" s="64"/>
      <c r="J248" s="1" t="s">
        <v>3</v>
      </c>
      <c r="K248" s="64" t="s">
        <v>96</v>
      </c>
      <c r="L248" s="64"/>
      <c r="M248" s="64"/>
      <c r="N248" s="64"/>
      <c r="O248" s="64"/>
      <c r="P248" s="64"/>
      <c r="Q248" s="64"/>
      <c r="R248" s="64"/>
      <c r="S248" s="64"/>
      <c r="AA248" s="64" t="s">
        <v>4</v>
      </c>
      <c r="AB248" s="64"/>
      <c r="AC248" s="64"/>
      <c r="AD248" s="64"/>
      <c r="AE248" s="64"/>
      <c r="AF248" s="64"/>
      <c r="AG248" s="64"/>
      <c r="AH248" t="s">
        <v>3</v>
      </c>
      <c r="AI248" s="65">
        <v>46058</v>
      </c>
      <c r="AJ248" s="65"/>
      <c r="AK248" s="65"/>
      <c r="AL248" s="65"/>
      <c r="AM248" s="65"/>
      <c r="AN248" s="65"/>
      <c r="AO248" s="65"/>
      <c r="AP248" s="65"/>
      <c r="AQ248" s="65"/>
      <c r="AR248" s="65"/>
      <c r="BM248" t="s">
        <v>8</v>
      </c>
    </row>
    <row r="249" spans="2:65" x14ac:dyDescent="0.25">
      <c r="B249" s="64" t="s">
        <v>5</v>
      </c>
      <c r="C249" s="64"/>
      <c r="D249" s="64"/>
      <c r="E249" s="64"/>
      <c r="F249" s="64"/>
      <c r="G249" s="64"/>
      <c r="H249" s="64"/>
      <c r="I249" s="64"/>
      <c r="J249" s="1" t="s">
        <v>3</v>
      </c>
      <c r="K249" s="65">
        <v>46058</v>
      </c>
      <c r="L249" s="65"/>
      <c r="M249" s="65"/>
      <c r="N249" s="65"/>
      <c r="O249" s="65"/>
      <c r="P249" s="65"/>
      <c r="Q249" s="65"/>
      <c r="R249" s="65"/>
      <c r="S249" s="65"/>
      <c r="AA249" s="64" t="s">
        <v>6</v>
      </c>
      <c r="AB249" s="64"/>
      <c r="AC249" s="64"/>
      <c r="AD249" s="64"/>
      <c r="AE249" s="64"/>
      <c r="AF249" s="64"/>
      <c r="AG249" s="64"/>
      <c r="AH249" t="s">
        <v>3</v>
      </c>
      <c r="AI249" s="65">
        <v>46058</v>
      </c>
      <c r="AJ249" s="65"/>
      <c r="AK249" s="65"/>
      <c r="AL249" s="65"/>
      <c r="AM249" s="65"/>
      <c r="AN249" s="65"/>
      <c r="AO249" s="65"/>
      <c r="AP249" s="65"/>
      <c r="AQ249" s="65"/>
      <c r="AR249" s="65"/>
    </row>
    <row r="250" spans="2:65" x14ac:dyDescent="0.25">
      <c r="B250" s="64" t="s">
        <v>7</v>
      </c>
      <c r="C250" s="64"/>
      <c r="D250" s="64"/>
      <c r="E250" s="64"/>
      <c r="F250" s="64"/>
      <c r="G250" s="64"/>
      <c r="H250" s="64"/>
      <c r="I250" s="64"/>
      <c r="J250" s="1" t="s">
        <v>3</v>
      </c>
      <c r="K250" s="64" t="s">
        <v>38</v>
      </c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W250" t="s">
        <v>8</v>
      </c>
    </row>
    <row r="251" spans="2:65" x14ac:dyDescent="0.25">
      <c r="J251" s="1"/>
    </row>
    <row r="252" spans="2:65" ht="30" customHeight="1" x14ac:dyDescent="0.25">
      <c r="B252" s="2" t="s">
        <v>9</v>
      </c>
      <c r="C252" s="36" t="s">
        <v>10</v>
      </c>
      <c r="D252" s="36"/>
      <c r="E252" s="36"/>
      <c r="F252" s="36"/>
      <c r="G252" s="36"/>
      <c r="H252" s="36"/>
      <c r="I252" s="36"/>
      <c r="J252" s="36"/>
      <c r="K252" s="36" t="s">
        <v>11</v>
      </c>
      <c r="L252" s="36"/>
      <c r="M252" s="36"/>
      <c r="N252" s="36" t="s">
        <v>12</v>
      </c>
      <c r="O252" s="36"/>
      <c r="P252" s="36"/>
      <c r="Q252" s="36"/>
      <c r="R252" s="36"/>
      <c r="S252" s="36"/>
      <c r="T252" s="36" t="s">
        <v>24</v>
      </c>
      <c r="U252" s="36"/>
      <c r="V252" s="36"/>
      <c r="W252" s="36"/>
      <c r="X252" s="36"/>
      <c r="Y252" s="36"/>
      <c r="Z252" s="36" t="s">
        <v>14</v>
      </c>
      <c r="AA252" s="36"/>
      <c r="AB252" s="36"/>
      <c r="AC252" s="36"/>
      <c r="AD252" s="36"/>
      <c r="AE252" s="36"/>
      <c r="AF252" s="36" t="s">
        <v>15</v>
      </c>
      <c r="AG252" s="36"/>
      <c r="AH252" s="36"/>
      <c r="AI252" s="36"/>
      <c r="AJ252" s="36"/>
      <c r="AK252" s="63" t="s">
        <v>16</v>
      </c>
      <c r="AL252" s="63"/>
      <c r="AM252" s="63"/>
      <c r="AN252" s="63"/>
      <c r="AO252" s="63"/>
      <c r="AP252" s="63" t="s">
        <v>17</v>
      </c>
      <c r="AQ252" s="63"/>
      <c r="AR252" s="63"/>
      <c r="AS252" s="63"/>
      <c r="AT252" s="63"/>
      <c r="AU252" s="36" t="s">
        <v>18</v>
      </c>
      <c r="AV252" s="36"/>
      <c r="AW252" s="36"/>
      <c r="AX252" s="36"/>
      <c r="AY252" s="36"/>
      <c r="AZ252" s="63" t="s">
        <v>19</v>
      </c>
      <c r="BA252" s="63"/>
      <c r="BB252" s="63"/>
      <c r="BC252" s="63"/>
      <c r="BD252" s="63"/>
      <c r="BL252" t="s">
        <v>8</v>
      </c>
    </row>
    <row r="253" spans="2:65" ht="24.95" customHeight="1" x14ac:dyDescent="0.25">
      <c r="B253" s="3" t="s">
        <v>20</v>
      </c>
      <c r="C253" s="60" t="s">
        <v>54</v>
      </c>
      <c r="D253" s="61"/>
      <c r="E253" s="61"/>
      <c r="F253" s="61"/>
      <c r="G253" s="61"/>
      <c r="H253" s="61"/>
      <c r="I253" s="61"/>
      <c r="J253" s="62"/>
      <c r="K253" s="42">
        <v>1883</v>
      </c>
      <c r="L253" s="43"/>
      <c r="M253" s="44"/>
      <c r="N253" s="51" t="s">
        <v>39</v>
      </c>
      <c r="O253" s="52"/>
      <c r="P253" s="52"/>
      <c r="Q253" s="52"/>
      <c r="R253" s="52"/>
      <c r="S253" s="53"/>
      <c r="T253" s="42" t="s">
        <v>36</v>
      </c>
      <c r="U253" s="43"/>
      <c r="V253" s="43"/>
      <c r="W253" s="43"/>
      <c r="X253" s="43"/>
      <c r="Y253" s="44"/>
      <c r="Z253" s="42" t="s">
        <v>33</v>
      </c>
      <c r="AA253" s="43"/>
      <c r="AB253" s="43"/>
      <c r="AC253" s="43"/>
      <c r="AD253" s="43"/>
      <c r="AE253" s="44"/>
      <c r="AF253" s="54">
        <v>100000</v>
      </c>
      <c r="AG253" s="55"/>
      <c r="AH253" s="55"/>
      <c r="AI253" s="55"/>
      <c r="AJ253" s="56"/>
      <c r="AK253" s="57"/>
      <c r="AL253" s="58"/>
      <c r="AM253" s="58"/>
      <c r="AN253" s="58"/>
      <c r="AO253" s="59"/>
      <c r="AP253" s="57"/>
      <c r="AQ253" s="58"/>
      <c r="AR253" s="58"/>
      <c r="AS253" s="58"/>
      <c r="AT253" s="59"/>
      <c r="AU253" s="57"/>
      <c r="AV253" s="58"/>
      <c r="AW253" s="58"/>
      <c r="AX253" s="58"/>
      <c r="AY253" s="59"/>
      <c r="AZ253" s="45">
        <f>AF253</f>
        <v>100000</v>
      </c>
      <c r="BA253" s="46"/>
      <c r="BB253" s="46"/>
      <c r="BC253" s="46"/>
      <c r="BD253" s="47"/>
    </row>
    <row r="254" spans="2:65" ht="24.95" customHeight="1" x14ac:dyDescent="0.25">
      <c r="B254" s="3" t="s">
        <v>29</v>
      </c>
      <c r="C254" s="60" t="s">
        <v>90</v>
      </c>
      <c r="D254" s="61"/>
      <c r="E254" s="61"/>
      <c r="F254" s="61"/>
      <c r="G254" s="61"/>
      <c r="H254" s="61"/>
      <c r="I254" s="61"/>
      <c r="J254" s="62"/>
      <c r="K254" s="42">
        <v>1794</v>
      </c>
      <c r="L254" s="43"/>
      <c r="M254" s="44"/>
      <c r="N254" s="51" t="s">
        <v>31</v>
      </c>
      <c r="O254" s="52"/>
      <c r="P254" s="52"/>
      <c r="Q254" s="52"/>
      <c r="R254" s="52"/>
      <c r="S254" s="53"/>
      <c r="T254" s="42" t="s">
        <v>36</v>
      </c>
      <c r="U254" s="43"/>
      <c r="V254" s="43"/>
      <c r="W254" s="43"/>
      <c r="X254" s="43"/>
      <c r="Y254" s="44"/>
      <c r="Z254" s="42" t="s">
        <v>33</v>
      </c>
      <c r="AA254" s="43"/>
      <c r="AB254" s="43"/>
      <c r="AC254" s="43"/>
      <c r="AD254" s="43"/>
      <c r="AE254" s="44"/>
      <c r="AF254" s="54">
        <v>90000</v>
      </c>
      <c r="AG254" s="55"/>
      <c r="AH254" s="55"/>
      <c r="AI254" s="55"/>
      <c r="AJ254" s="56"/>
      <c r="AK254" s="57"/>
      <c r="AL254" s="58"/>
      <c r="AM254" s="58"/>
      <c r="AN254" s="58"/>
      <c r="AO254" s="59"/>
      <c r="AP254" s="57"/>
      <c r="AQ254" s="58"/>
      <c r="AR254" s="58"/>
      <c r="AS254" s="58"/>
      <c r="AT254" s="59"/>
      <c r="AU254" s="57"/>
      <c r="AV254" s="58"/>
      <c r="AW254" s="58"/>
      <c r="AX254" s="58"/>
      <c r="AY254" s="59"/>
      <c r="AZ254" s="45">
        <f>AF254</f>
        <v>90000</v>
      </c>
      <c r="BA254" s="46"/>
      <c r="BB254" s="46"/>
      <c r="BC254" s="46"/>
      <c r="BD254" s="47"/>
      <c r="BM254" t="s">
        <v>8</v>
      </c>
    </row>
    <row r="255" spans="2:65" ht="24.95" customHeight="1" x14ac:dyDescent="0.25">
      <c r="B255" s="3" t="s">
        <v>30</v>
      </c>
      <c r="C255" s="60" t="s">
        <v>98</v>
      </c>
      <c r="D255" s="61"/>
      <c r="E255" s="61"/>
      <c r="F255" s="61"/>
      <c r="G255" s="61"/>
      <c r="H255" s="61"/>
      <c r="I255" s="61"/>
      <c r="J255" s="62"/>
      <c r="K255" s="42">
        <v>2012</v>
      </c>
      <c r="L255" s="43"/>
      <c r="M255" s="44"/>
      <c r="N255" s="51" t="s">
        <v>40</v>
      </c>
      <c r="O255" s="52"/>
      <c r="P255" s="52"/>
      <c r="Q255" s="52"/>
      <c r="R255" s="52"/>
      <c r="S255" s="53"/>
      <c r="T255" s="42" t="s">
        <v>36</v>
      </c>
      <c r="U255" s="43"/>
      <c r="V255" s="43"/>
      <c r="W255" s="43"/>
      <c r="X255" s="43"/>
      <c r="Y255" s="44"/>
      <c r="Z255" s="42" t="s">
        <v>33</v>
      </c>
      <c r="AA255" s="43"/>
      <c r="AB255" s="43"/>
      <c r="AC255" s="43"/>
      <c r="AD255" s="43"/>
      <c r="AE255" s="44"/>
      <c r="AF255" s="54">
        <v>75000</v>
      </c>
      <c r="AG255" s="55"/>
      <c r="AH255" s="55"/>
      <c r="AI255" s="55"/>
      <c r="AJ255" s="56"/>
      <c r="AK255" s="57"/>
      <c r="AL255" s="58"/>
      <c r="AM255" s="58"/>
      <c r="AN255" s="58"/>
      <c r="AO255" s="59"/>
      <c r="AP255" s="57"/>
      <c r="AQ255" s="58"/>
      <c r="AR255" s="58"/>
      <c r="AS255" s="58"/>
      <c r="AT255" s="59"/>
      <c r="AU255" s="57"/>
      <c r="AV255" s="58"/>
      <c r="AW255" s="58"/>
      <c r="AX255" s="58"/>
      <c r="AY255" s="59"/>
      <c r="AZ255" s="45">
        <f t="shared" ref="AZ255:AZ258" si="4">AF255</f>
        <v>75000</v>
      </c>
      <c r="BA255" s="46"/>
      <c r="BB255" s="46"/>
      <c r="BC255" s="46"/>
      <c r="BD255" s="47"/>
    </row>
    <row r="256" spans="2:65" ht="24.95" customHeight="1" x14ac:dyDescent="0.25">
      <c r="B256" s="3" t="s">
        <v>53</v>
      </c>
      <c r="C256" s="60" t="s">
        <v>52</v>
      </c>
      <c r="D256" s="61"/>
      <c r="E256" s="61"/>
      <c r="F256" s="61"/>
      <c r="G256" s="61"/>
      <c r="H256" s="61"/>
      <c r="I256" s="61"/>
      <c r="J256" s="62"/>
      <c r="K256" s="42">
        <v>1819</v>
      </c>
      <c r="L256" s="43"/>
      <c r="M256" s="44"/>
      <c r="N256" s="42" t="s">
        <v>40</v>
      </c>
      <c r="O256" s="43"/>
      <c r="P256" s="43"/>
      <c r="Q256" s="43"/>
      <c r="R256" s="43"/>
      <c r="S256" s="44"/>
      <c r="T256" s="80" t="s">
        <v>36</v>
      </c>
      <c r="U256" s="81"/>
      <c r="V256" s="81"/>
      <c r="W256" s="81"/>
      <c r="X256" s="81"/>
      <c r="Y256" s="82"/>
      <c r="Z256" s="42" t="s">
        <v>33</v>
      </c>
      <c r="AA256" s="43"/>
      <c r="AB256" s="43"/>
      <c r="AC256" s="43"/>
      <c r="AD256" s="43"/>
      <c r="AE256" s="44"/>
      <c r="AF256" s="54">
        <v>75000</v>
      </c>
      <c r="AG256" s="55"/>
      <c r="AH256" s="55"/>
      <c r="AI256" s="55"/>
      <c r="AJ256" s="56"/>
      <c r="AK256" s="57"/>
      <c r="AL256" s="58"/>
      <c r="AM256" s="58"/>
      <c r="AN256" s="58"/>
      <c r="AO256" s="59"/>
      <c r="AP256" s="57"/>
      <c r="AQ256" s="58"/>
      <c r="AR256" s="58"/>
      <c r="AS256" s="58"/>
      <c r="AT256" s="59"/>
      <c r="AU256" s="57"/>
      <c r="AV256" s="58"/>
      <c r="AW256" s="58"/>
      <c r="AX256" s="58"/>
      <c r="AY256" s="59"/>
      <c r="AZ256" s="45">
        <f t="shared" si="4"/>
        <v>75000</v>
      </c>
      <c r="BA256" s="46"/>
      <c r="BB256" s="46"/>
      <c r="BC256" s="46"/>
      <c r="BD256" s="47"/>
    </row>
    <row r="257" spans="2:65" ht="24.95" customHeight="1" x14ac:dyDescent="0.25">
      <c r="B257" s="3" t="s">
        <v>59</v>
      </c>
      <c r="C257" s="9" t="s">
        <v>91</v>
      </c>
      <c r="D257" s="10"/>
      <c r="E257" s="10"/>
      <c r="F257" s="10"/>
      <c r="G257" s="10"/>
      <c r="H257" s="10"/>
      <c r="I257" s="10"/>
      <c r="J257" s="11"/>
      <c r="K257" s="42">
        <v>1941</v>
      </c>
      <c r="L257" s="43"/>
      <c r="M257" s="44"/>
      <c r="N257" s="51" t="s">
        <v>31</v>
      </c>
      <c r="O257" s="52"/>
      <c r="P257" s="52"/>
      <c r="Q257" s="52"/>
      <c r="R257" s="52"/>
      <c r="S257" s="53"/>
      <c r="T257" s="80" t="s">
        <v>93</v>
      </c>
      <c r="U257" s="81"/>
      <c r="V257" s="81"/>
      <c r="W257" s="81"/>
      <c r="X257" s="81"/>
      <c r="Y257" s="82"/>
      <c r="Z257" s="42" t="s">
        <v>33</v>
      </c>
      <c r="AA257" s="43"/>
      <c r="AB257" s="43"/>
      <c r="AC257" s="43"/>
      <c r="AD257" s="43"/>
      <c r="AE257" s="44"/>
      <c r="AF257" s="54">
        <v>90000</v>
      </c>
      <c r="AG257" s="55"/>
      <c r="AH257" s="55"/>
      <c r="AI257" s="55"/>
      <c r="AJ257" s="56"/>
      <c r="AK257" s="57"/>
      <c r="AL257" s="58"/>
      <c r="AM257" s="58"/>
      <c r="AN257" s="58"/>
      <c r="AO257" s="59"/>
      <c r="AP257" s="57"/>
      <c r="AQ257" s="58"/>
      <c r="AR257" s="58"/>
      <c r="AS257" s="58"/>
      <c r="AT257" s="59"/>
      <c r="AU257" s="57"/>
      <c r="AV257" s="58"/>
      <c r="AW257" s="58"/>
      <c r="AX257" s="58"/>
      <c r="AY257" s="59"/>
      <c r="AZ257" s="45">
        <f t="shared" si="4"/>
        <v>90000</v>
      </c>
      <c r="BA257" s="46"/>
      <c r="BB257" s="46"/>
      <c r="BC257" s="46"/>
      <c r="BD257" s="47"/>
      <c r="BM257" t="s">
        <v>8</v>
      </c>
    </row>
    <row r="258" spans="2:65" ht="24.95" customHeight="1" x14ac:dyDescent="0.25">
      <c r="B258" s="3" t="s">
        <v>60</v>
      </c>
      <c r="C258" s="60" t="s">
        <v>92</v>
      </c>
      <c r="D258" s="61"/>
      <c r="E258" s="61"/>
      <c r="F258" s="61"/>
      <c r="G258" s="61"/>
      <c r="H258" s="61"/>
      <c r="I258" s="61"/>
      <c r="J258" s="62"/>
      <c r="K258" s="42">
        <v>1941</v>
      </c>
      <c r="L258" s="43"/>
      <c r="M258" s="44"/>
      <c r="N258" s="51" t="s">
        <v>31</v>
      </c>
      <c r="O258" s="52"/>
      <c r="P258" s="52"/>
      <c r="Q258" s="52"/>
      <c r="R258" s="52"/>
      <c r="S258" s="53"/>
      <c r="T258" s="66" t="s">
        <v>64</v>
      </c>
      <c r="U258" s="66"/>
      <c r="V258" s="66"/>
      <c r="W258" s="66"/>
      <c r="X258" s="66"/>
      <c r="Y258" s="66"/>
      <c r="Z258" s="42" t="s">
        <v>33</v>
      </c>
      <c r="AA258" s="43"/>
      <c r="AB258" s="43"/>
      <c r="AC258" s="43"/>
      <c r="AD258" s="43"/>
      <c r="AE258" s="44"/>
      <c r="AF258" s="54">
        <v>90000</v>
      </c>
      <c r="AG258" s="55"/>
      <c r="AH258" s="55"/>
      <c r="AI258" s="55"/>
      <c r="AJ258" s="56"/>
      <c r="AK258" s="57"/>
      <c r="AL258" s="58"/>
      <c r="AM258" s="58"/>
      <c r="AN258" s="58"/>
      <c r="AO258" s="59"/>
      <c r="AP258" s="57"/>
      <c r="AQ258" s="58"/>
      <c r="AR258" s="58"/>
      <c r="AS258" s="58"/>
      <c r="AT258" s="59"/>
      <c r="AU258" s="57"/>
      <c r="AV258" s="58"/>
      <c r="AW258" s="58"/>
      <c r="AX258" s="58"/>
      <c r="AY258" s="59"/>
      <c r="AZ258" s="45">
        <f t="shared" si="4"/>
        <v>90000</v>
      </c>
      <c r="BA258" s="46"/>
      <c r="BB258" s="46"/>
      <c r="BC258" s="46"/>
      <c r="BD258" s="47"/>
      <c r="BK258" t="s">
        <v>8</v>
      </c>
    </row>
    <row r="259" spans="2:65" ht="24.95" customHeight="1" x14ac:dyDescent="0.25">
      <c r="B259" s="3"/>
      <c r="C259" s="60"/>
      <c r="D259" s="61"/>
      <c r="E259" s="61"/>
      <c r="F259" s="61"/>
      <c r="G259" s="61"/>
      <c r="H259" s="61"/>
      <c r="I259" s="61"/>
      <c r="J259" s="62"/>
      <c r="K259" s="42"/>
      <c r="L259" s="43"/>
      <c r="M259" s="44"/>
      <c r="N259" s="51"/>
      <c r="O259" s="52"/>
      <c r="P259" s="52"/>
      <c r="Q259" s="52"/>
      <c r="R259" s="52"/>
      <c r="S259" s="53"/>
      <c r="T259" s="66"/>
      <c r="U259" s="66"/>
      <c r="V259" s="66"/>
      <c r="W259" s="66"/>
      <c r="X259" s="66"/>
      <c r="Y259" s="66"/>
      <c r="Z259" s="42"/>
      <c r="AA259" s="43"/>
      <c r="AB259" s="43"/>
      <c r="AC259" s="43"/>
      <c r="AD259" s="43"/>
      <c r="AE259" s="44"/>
      <c r="AF259" s="54"/>
      <c r="AG259" s="55"/>
      <c r="AH259" s="55"/>
      <c r="AI259" s="55"/>
      <c r="AJ259" s="56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5"/>
      <c r="BA259" s="46"/>
      <c r="BB259" s="46"/>
      <c r="BC259" s="46"/>
      <c r="BD259" s="47"/>
    </row>
    <row r="260" spans="2:65" ht="24.95" customHeight="1" x14ac:dyDescent="0.25">
      <c r="B260" s="3"/>
      <c r="C260" s="60"/>
      <c r="D260" s="61"/>
      <c r="E260" s="61"/>
      <c r="F260" s="61"/>
      <c r="G260" s="61"/>
      <c r="H260" s="61"/>
      <c r="I260" s="61"/>
      <c r="J260" s="62"/>
      <c r="K260" s="42"/>
      <c r="L260" s="43"/>
      <c r="M260" s="44"/>
      <c r="N260" s="51"/>
      <c r="O260" s="52"/>
      <c r="P260" s="52"/>
      <c r="Q260" s="52"/>
      <c r="R260" s="52"/>
      <c r="S260" s="53"/>
      <c r="T260" s="66"/>
      <c r="U260" s="66"/>
      <c r="V260" s="66"/>
      <c r="W260" s="66"/>
      <c r="X260" s="66"/>
      <c r="Y260" s="66"/>
      <c r="Z260" s="42"/>
      <c r="AA260" s="43"/>
      <c r="AB260" s="43"/>
      <c r="AC260" s="43"/>
      <c r="AD260" s="43"/>
      <c r="AE260" s="44"/>
      <c r="AF260" s="54"/>
      <c r="AG260" s="55"/>
      <c r="AH260" s="55"/>
      <c r="AI260" s="55"/>
      <c r="AJ260" s="56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5"/>
      <c r="BA260" s="46"/>
      <c r="BB260" s="46"/>
      <c r="BC260" s="46"/>
      <c r="BD260" s="47"/>
    </row>
    <row r="261" spans="2:65" ht="24.95" customHeight="1" x14ac:dyDescent="0.25">
      <c r="B261" s="36" t="s">
        <v>25</v>
      </c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7">
        <f>SUM(AZ253:AZ260)</f>
        <v>520000</v>
      </c>
      <c r="BA261" s="37"/>
      <c r="BB261" s="37"/>
      <c r="BC261" s="37"/>
      <c r="BD261" s="37"/>
    </row>
    <row r="262" spans="2:65" ht="24.95" customHeight="1" x14ac:dyDescent="0.25">
      <c r="B262" s="38" t="s">
        <v>94</v>
      </c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</row>
    <row r="263" spans="2:65" x14ac:dyDescent="0.25">
      <c r="U263" t="s">
        <v>21</v>
      </c>
      <c r="V263" s="1"/>
      <c r="AL263" t="s">
        <v>95</v>
      </c>
    </row>
    <row r="264" spans="2:65" x14ac:dyDescent="0.25">
      <c r="B264" s="4"/>
      <c r="C264" s="4"/>
      <c r="D264" s="4"/>
      <c r="E264" s="4"/>
      <c r="F264" s="4"/>
      <c r="G264" s="4"/>
      <c r="H264" s="4"/>
      <c r="I264" s="4"/>
      <c r="J264" s="4"/>
      <c r="U264" t="s">
        <v>22</v>
      </c>
      <c r="AL264" t="s">
        <v>23</v>
      </c>
      <c r="BB264" t="s">
        <v>8</v>
      </c>
    </row>
    <row r="265" spans="2:65" x14ac:dyDescent="0.25">
      <c r="B265" s="4"/>
      <c r="C265" s="4"/>
      <c r="D265" s="4"/>
      <c r="E265" s="4"/>
      <c r="F265" s="4"/>
      <c r="G265" s="4"/>
      <c r="H265" s="4"/>
      <c r="I265" s="4"/>
      <c r="J265" s="4"/>
    </row>
    <row r="266" spans="2:65" x14ac:dyDescent="0.25">
      <c r="B266" s="4"/>
      <c r="C266" s="4"/>
      <c r="D266" s="4"/>
      <c r="E266" s="4"/>
      <c r="F266" s="4"/>
      <c r="G266" s="4"/>
      <c r="H266" s="4"/>
      <c r="I266" s="4"/>
      <c r="J266" s="4"/>
      <c r="Z266" t="s">
        <v>8</v>
      </c>
      <c r="AS266" t="s">
        <v>8</v>
      </c>
    </row>
    <row r="268" spans="2:65" x14ac:dyDescent="0.25">
      <c r="U268" s="5" t="s">
        <v>101</v>
      </c>
      <c r="AL268" s="5" t="str">
        <f>C253</f>
        <v>Haryadi Sumiarto</v>
      </c>
    </row>
    <row r="269" spans="2:65" x14ac:dyDescent="0.25">
      <c r="T269" s="5"/>
      <c r="U269" t="s">
        <v>28</v>
      </c>
    </row>
    <row r="272" spans="2:65" ht="18.75" x14ac:dyDescent="0.3">
      <c r="B272" s="70" t="s">
        <v>0</v>
      </c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70"/>
      <c r="AX272" s="70"/>
      <c r="AY272" s="70"/>
      <c r="AZ272" s="70"/>
      <c r="BA272" s="70"/>
      <c r="BB272" s="70"/>
      <c r="BC272" s="70"/>
      <c r="BD272" s="70"/>
    </row>
    <row r="273" spans="2:72" ht="18.75" x14ac:dyDescent="0.3">
      <c r="B273" s="70" t="s">
        <v>1</v>
      </c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  <c r="AX273" s="70"/>
      <c r="AY273" s="70"/>
      <c r="AZ273" s="70"/>
      <c r="BA273" s="70"/>
      <c r="BB273" s="70"/>
      <c r="BC273" s="70"/>
      <c r="BD273" s="70"/>
    </row>
    <row r="274" spans="2:72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6" spans="2:72" x14ac:dyDescent="0.25">
      <c r="B276" s="64" t="s">
        <v>2</v>
      </c>
      <c r="C276" s="64"/>
      <c r="D276" s="64"/>
      <c r="E276" s="64"/>
      <c r="F276" s="64"/>
      <c r="G276" s="64"/>
      <c r="H276" s="64"/>
      <c r="I276" s="64"/>
      <c r="J276" s="1" t="s">
        <v>3</v>
      </c>
      <c r="K276" s="64" t="s">
        <v>58</v>
      </c>
      <c r="L276" s="64"/>
      <c r="M276" s="64"/>
      <c r="N276" s="64"/>
      <c r="O276" s="64"/>
      <c r="P276" s="64"/>
      <c r="Q276" s="64"/>
      <c r="R276" s="64"/>
      <c r="S276" s="64"/>
      <c r="AA276" s="64" t="s">
        <v>4</v>
      </c>
      <c r="AB276" s="64"/>
      <c r="AC276" s="64"/>
      <c r="AD276" s="64"/>
      <c r="AE276" s="64"/>
      <c r="AF276" s="64"/>
      <c r="AG276" s="64"/>
      <c r="AH276" t="s">
        <v>3</v>
      </c>
      <c r="AI276" s="65">
        <v>45927</v>
      </c>
      <c r="AJ276" s="65"/>
      <c r="AK276" s="65"/>
      <c r="AL276" s="65"/>
      <c r="AM276" s="65"/>
      <c r="AN276" s="65"/>
      <c r="AO276" s="65"/>
      <c r="AP276" s="65"/>
      <c r="AQ276" s="65"/>
      <c r="AR276" s="65"/>
    </row>
    <row r="277" spans="2:72" x14ac:dyDescent="0.25">
      <c r="B277" s="64" t="s">
        <v>5</v>
      </c>
      <c r="C277" s="64"/>
      <c r="D277" s="64"/>
      <c r="E277" s="64"/>
      <c r="F277" s="64"/>
      <c r="G277" s="64"/>
      <c r="H277" s="64"/>
      <c r="I277" s="64"/>
      <c r="J277" s="1" t="s">
        <v>3</v>
      </c>
      <c r="K277" s="65">
        <v>45927</v>
      </c>
      <c r="L277" s="65"/>
      <c r="M277" s="65"/>
      <c r="N277" s="65"/>
      <c r="O277" s="65"/>
      <c r="P277" s="65"/>
      <c r="Q277" s="65"/>
      <c r="R277" s="65"/>
      <c r="S277" s="65"/>
      <c r="AA277" s="64" t="s">
        <v>6</v>
      </c>
      <c r="AB277" s="64"/>
      <c r="AC277" s="64"/>
      <c r="AD277" s="64"/>
      <c r="AE277" s="64"/>
      <c r="AF277" s="64"/>
      <c r="AG277" s="64"/>
      <c r="AH277" t="s">
        <v>3</v>
      </c>
      <c r="AI277" s="65">
        <v>45927</v>
      </c>
      <c r="AJ277" s="65"/>
      <c r="AK277" s="65"/>
      <c r="AL277" s="65"/>
      <c r="AM277" s="65"/>
      <c r="AN277" s="65"/>
      <c r="AO277" s="65"/>
      <c r="AP277" s="65"/>
      <c r="AQ277" s="65"/>
      <c r="AR277" s="65"/>
    </row>
    <row r="278" spans="2:72" x14ac:dyDescent="0.25">
      <c r="B278" s="64" t="s">
        <v>7</v>
      </c>
      <c r="C278" s="64"/>
      <c r="D278" s="64"/>
      <c r="E278" s="64"/>
      <c r="F278" s="64"/>
      <c r="G278" s="64"/>
      <c r="H278" s="64"/>
      <c r="I278" s="64"/>
      <c r="J278" s="1" t="s">
        <v>3</v>
      </c>
      <c r="K278" s="64" t="s">
        <v>34</v>
      </c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</row>
    <row r="279" spans="2:72" x14ac:dyDescent="0.25">
      <c r="J279" s="1"/>
    </row>
    <row r="280" spans="2:72" ht="30" customHeight="1" x14ac:dyDescent="0.25">
      <c r="B280" s="2" t="s">
        <v>9</v>
      </c>
      <c r="C280" s="36" t="s">
        <v>10</v>
      </c>
      <c r="D280" s="36"/>
      <c r="E280" s="36"/>
      <c r="F280" s="36"/>
      <c r="G280" s="36"/>
      <c r="H280" s="36"/>
      <c r="I280" s="36"/>
      <c r="J280" s="36"/>
      <c r="K280" s="36" t="s">
        <v>11</v>
      </c>
      <c r="L280" s="36"/>
      <c r="M280" s="36"/>
      <c r="N280" s="36" t="s">
        <v>12</v>
      </c>
      <c r="O280" s="36"/>
      <c r="P280" s="36"/>
      <c r="Q280" s="36"/>
      <c r="R280" s="36"/>
      <c r="S280" s="36"/>
      <c r="T280" s="36" t="s">
        <v>24</v>
      </c>
      <c r="U280" s="36"/>
      <c r="V280" s="36"/>
      <c r="W280" s="36"/>
      <c r="X280" s="36"/>
      <c r="Y280" s="36"/>
      <c r="Z280" s="36" t="s">
        <v>14</v>
      </c>
      <c r="AA280" s="36"/>
      <c r="AB280" s="36"/>
      <c r="AC280" s="36"/>
      <c r="AD280" s="36"/>
      <c r="AE280" s="36"/>
      <c r="AF280" s="36" t="s">
        <v>15</v>
      </c>
      <c r="AG280" s="36"/>
      <c r="AH280" s="36"/>
      <c r="AI280" s="36"/>
      <c r="AJ280" s="36"/>
      <c r="AK280" s="63" t="s">
        <v>16</v>
      </c>
      <c r="AL280" s="63"/>
      <c r="AM280" s="63"/>
      <c r="AN280" s="63"/>
      <c r="AO280" s="63"/>
      <c r="AP280" s="63" t="s">
        <v>17</v>
      </c>
      <c r="AQ280" s="63"/>
      <c r="AR280" s="63"/>
      <c r="AS280" s="63"/>
      <c r="AT280" s="63"/>
      <c r="AU280" s="36" t="s">
        <v>18</v>
      </c>
      <c r="AV280" s="36"/>
      <c r="AW280" s="36"/>
      <c r="AX280" s="36"/>
      <c r="AY280" s="36"/>
      <c r="AZ280" s="63" t="s">
        <v>19</v>
      </c>
      <c r="BA280" s="63"/>
      <c r="BB280" s="63"/>
      <c r="BC280" s="63"/>
      <c r="BD280" s="63"/>
    </row>
    <row r="281" spans="2:72" ht="30" customHeight="1" x14ac:dyDescent="0.25">
      <c r="B281" s="3" t="s">
        <v>61</v>
      </c>
      <c r="C281" s="60" t="s">
        <v>62</v>
      </c>
      <c r="D281" s="61"/>
      <c r="E281" s="61"/>
      <c r="F281" s="61"/>
      <c r="G281" s="61"/>
      <c r="H281" s="61"/>
      <c r="I281" s="61"/>
      <c r="J281" s="62"/>
      <c r="K281" s="42">
        <v>1995</v>
      </c>
      <c r="L281" s="43"/>
      <c r="M281" s="44"/>
      <c r="N281" s="51" t="s">
        <v>63</v>
      </c>
      <c r="O281" s="52"/>
      <c r="P281" s="52"/>
      <c r="Q281" s="52"/>
      <c r="R281" s="52"/>
      <c r="S281" s="53"/>
      <c r="T281" s="42" t="s">
        <v>37</v>
      </c>
      <c r="U281" s="43"/>
      <c r="V281" s="43"/>
      <c r="W281" s="43"/>
      <c r="X281" s="43"/>
      <c r="Y281" s="44"/>
      <c r="Z281" s="42" t="s">
        <v>33</v>
      </c>
      <c r="AA281" s="43"/>
      <c r="AB281" s="43"/>
      <c r="AC281" s="43"/>
      <c r="AD281" s="43"/>
      <c r="AE281" s="44"/>
      <c r="AF281" s="54">
        <v>90000</v>
      </c>
      <c r="AG281" s="55"/>
      <c r="AH281" s="55"/>
      <c r="AI281" s="55"/>
      <c r="AJ281" s="56"/>
      <c r="AK281" s="67"/>
      <c r="AL281" s="68"/>
      <c r="AM281" s="68"/>
      <c r="AN281" s="68"/>
      <c r="AO281" s="69"/>
      <c r="AP281" s="67"/>
      <c r="AQ281" s="68"/>
      <c r="AR281" s="68"/>
      <c r="AS281" s="68"/>
      <c r="AT281" s="69"/>
      <c r="AU281" s="57"/>
      <c r="AV281" s="58"/>
      <c r="AW281" s="58"/>
      <c r="AX281" s="58"/>
      <c r="AY281" s="59"/>
      <c r="AZ281" s="45">
        <f>AF281</f>
        <v>90000</v>
      </c>
      <c r="BA281" s="46"/>
      <c r="BB281" s="46"/>
      <c r="BC281" s="46"/>
      <c r="BD281" s="47"/>
      <c r="BK281" t="s">
        <v>8</v>
      </c>
    </row>
    <row r="282" spans="2:72" ht="30" customHeight="1" x14ac:dyDescent="0.25">
      <c r="B282" s="3" t="s">
        <v>66</v>
      </c>
      <c r="C282" s="60" t="s">
        <v>68</v>
      </c>
      <c r="D282" s="61"/>
      <c r="E282" s="61"/>
      <c r="F282" s="61"/>
      <c r="G282" s="61"/>
      <c r="H282" s="61"/>
      <c r="I282" s="61"/>
      <c r="J282" s="62"/>
      <c r="K282" s="42">
        <v>1828</v>
      </c>
      <c r="L282" s="43"/>
      <c r="M282" s="44"/>
      <c r="N282" s="51" t="s">
        <v>70</v>
      </c>
      <c r="O282" s="52"/>
      <c r="P282" s="52"/>
      <c r="Q282" s="52"/>
      <c r="R282" s="52"/>
      <c r="S282" s="53"/>
      <c r="T282" s="42" t="s">
        <v>71</v>
      </c>
      <c r="U282" s="43"/>
      <c r="V282" s="43"/>
      <c r="W282" s="43"/>
      <c r="X282" s="43"/>
      <c r="Y282" s="44"/>
      <c r="Z282" s="42" t="s">
        <v>33</v>
      </c>
      <c r="AA282" s="43"/>
      <c r="AB282" s="43"/>
      <c r="AC282" s="43"/>
      <c r="AD282" s="43"/>
      <c r="AE282" s="44"/>
      <c r="AF282" s="54">
        <v>112500</v>
      </c>
      <c r="AG282" s="55"/>
      <c r="AH282" s="55"/>
      <c r="AI282" s="55"/>
      <c r="AJ282" s="56"/>
      <c r="AK282" s="67"/>
      <c r="AL282" s="68"/>
      <c r="AM282" s="68"/>
      <c r="AN282" s="68"/>
      <c r="AO282" s="69"/>
      <c r="AP282" s="67"/>
      <c r="AQ282" s="68"/>
      <c r="AR282" s="68"/>
      <c r="AS282" s="68"/>
      <c r="AT282" s="69"/>
      <c r="AU282" s="57"/>
      <c r="AV282" s="58"/>
      <c r="AW282" s="58"/>
      <c r="AX282" s="58"/>
      <c r="AY282" s="59"/>
      <c r="AZ282" s="45">
        <f t="shared" ref="AZ282:AZ283" si="5">AF282</f>
        <v>112500</v>
      </c>
      <c r="BA282" s="46"/>
      <c r="BB282" s="46"/>
      <c r="BC282" s="46"/>
      <c r="BD282" s="47"/>
    </row>
    <row r="283" spans="2:72" ht="30" customHeight="1" x14ac:dyDescent="0.25">
      <c r="B283" s="3" t="s">
        <v>67</v>
      </c>
      <c r="C283" s="48" t="s">
        <v>69</v>
      </c>
      <c r="D283" s="49"/>
      <c r="E283" s="49"/>
      <c r="F283" s="49"/>
      <c r="G283" s="49"/>
      <c r="H283" s="49"/>
      <c r="I283" s="49"/>
      <c r="J283" s="50"/>
      <c r="K283" s="42">
        <v>1922</v>
      </c>
      <c r="L283" s="43"/>
      <c r="M283" s="44"/>
      <c r="N283" s="51" t="s">
        <v>70</v>
      </c>
      <c r="O283" s="52"/>
      <c r="P283" s="52"/>
      <c r="Q283" s="52"/>
      <c r="R283" s="52"/>
      <c r="S283" s="53"/>
      <c r="T283" s="42" t="s">
        <v>72</v>
      </c>
      <c r="U283" s="43"/>
      <c r="V283" s="43"/>
      <c r="W283" s="43"/>
      <c r="X283" s="43"/>
      <c r="Y283" s="44"/>
      <c r="Z283" s="42" t="s">
        <v>33</v>
      </c>
      <c r="AA283" s="43"/>
      <c r="AB283" s="43"/>
      <c r="AC283" s="43"/>
      <c r="AD283" s="43"/>
      <c r="AE283" s="44"/>
      <c r="AF283" s="54">
        <v>112500</v>
      </c>
      <c r="AG283" s="55"/>
      <c r="AH283" s="55"/>
      <c r="AI283" s="55"/>
      <c r="AJ283" s="56"/>
      <c r="AK283" s="67"/>
      <c r="AL283" s="68"/>
      <c r="AM283" s="68"/>
      <c r="AN283" s="68"/>
      <c r="AO283" s="69"/>
      <c r="AP283" s="67"/>
      <c r="AQ283" s="68"/>
      <c r="AR283" s="68"/>
      <c r="AS283" s="68"/>
      <c r="AT283" s="69"/>
      <c r="AU283" s="57"/>
      <c r="AV283" s="58"/>
      <c r="AW283" s="58"/>
      <c r="AX283" s="58"/>
      <c r="AY283" s="59"/>
      <c r="AZ283" s="45">
        <f t="shared" si="5"/>
        <v>112500</v>
      </c>
      <c r="BA283" s="46"/>
      <c r="BB283" s="46"/>
      <c r="BC283" s="46"/>
      <c r="BD283" s="47"/>
    </row>
    <row r="284" spans="2:72" ht="30" customHeight="1" x14ac:dyDescent="0.25">
      <c r="B284" s="3"/>
      <c r="C284" s="48"/>
      <c r="D284" s="49"/>
      <c r="E284" s="49"/>
      <c r="F284" s="49"/>
      <c r="G284" s="49"/>
      <c r="H284" s="49"/>
      <c r="I284" s="49"/>
      <c r="J284" s="50"/>
      <c r="K284" s="42"/>
      <c r="L284" s="43"/>
      <c r="M284" s="44"/>
      <c r="N284" s="51"/>
      <c r="O284" s="52"/>
      <c r="P284" s="52"/>
      <c r="Q284" s="52"/>
      <c r="R284" s="52"/>
      <c r="S284" s="53"/>
      <c r="T284" s="42"/>
      <c r="U284" s="43"/>
      <c r="V284" s="43"/>
      <c r="W284" s="43"/>
      <c r="X284" s="43"/>
      <c r="Y284" s="44"/>
      <c r="Z284" s="42"/>
      <c r="AA284" s="43"/>
      <c r="AB284" s="43"/>
      <c r="AC284" s="43"/>
      <c r="AD284" s="43"/>
      <c r="AE284" s="44"/>
      <c r="AF284" s="54"/>
      <c r="AG284" s="55"/>
      <c r="AH284" s="55"/>
      <c r="AI284" s="55"/>
      <c r="AJ284" s="56"/>
      <c r="AK284" s="57"/>
      <c r="AL284" s="58"/>
      <c r="AM284" s="58"/>
      <c r="AN284" s="58"/>
      <c r="AO284" s="59"/>
      <c r="AP284" s="57"/>
      <c r="AQ284" s="58"/>
      <c r="AR284" s="58"/>
      <c r="AS284" s="58"/>
      <c r="AT284" s="59"/>
      <c r="AU284" s="57"/>
      <c r="AV284" s="58"/>
      <c r="AW284" s="58"/>
      <c r="AX284" s="58"/>
      <c r="AY284" s="59"/>
      <c r="AZ284" s="45"/>
      <c r="BA284" s="46"/>
      <c r="BB284" s="46"/>
      <c r="BC284" s="46"/>
      <c r="BD284" s="47"/>
    </row>
    <row r="285" spans="2:72" ht="30" customHeight="1" x14ac:dyDescent="0.25">
      <c r="B285" s="3"/>
      <c r="C285" s="60"/>
      <c r="D285" s="61"/>
      <c r="E285" s="61"/>
      <c r="F285" s="61"/>
      <c r="G285" s="61"/>
      <c r="H285" s="61"/>
      <c r="I285" s="61"/>
      <c r="J285" s="62"/>
      <c r="K285" s="42"/>
      <c r="L285" s="43"/>
      <c r="M285" s="44"/>
      <c r="N285" s="42"/>
      <c r="O285" s="43"/>
      <c r="P285" s="43"/>
      <c r="Q285" s="43"/>
      <c r="R285" s="43"/>
      <c r="S285" s="44"/>
      <c r="T285" s="42"/>
      <c r="U285" s="43"/>
      <c r="V285" s="43"/>
      <c r="W285" s="43"/>
      <c r="X285" s="43"/>
      <c r="Y285" s="44"/>
      <c r="Z285" s="42"/>
      <c r="AA285" s="43"/>
      <c r="AB285" s="43"/>
      <c r="AC285" s="43"/>
      <c r="AD285" s="43"/>
      <c r="AE285" s="44"/>
      <c r="AF285" s="54"/>
      <c r="AG285" s="55"/>
      <c r="AH285" s="55"/>
      <c r="AI285" s="55"/>
      <c r="AJ285" s="56"/>
      <c r="AK285" s="57"/>
      <c r="AL285" s="58"/>
      <c r="AM285" s="58"/>
      <c r="AN285" s="58"/>
      <c r="AO285" s="59"/>
      <c r="AP285" s="57"/>
      <c r="AQ285" s="58"/>
      <c r="AR285" s="58"/>
      <c r="AS285" s="58"/>
      <c r="AT285" s="59"/>
      <c r="AU285" s="57"/>
      <c r="AV285" s="58"/>
      <c r="AW285" s="58"/>
      <c r="AX285" s="58"/>
      <c r="AY285" s="59"/>
      <c r="AZ285" s="45"/>
      <c r="BA285" s="46"/>
      <c r="BB285" s="46"/>
      <c r="BC285" s="46"/>
      <c r="BD285" s="47"/>
    </row>
    <row r="286" spans="2:72" ht="30" customHeight="1" x14ac:dyDescent="0.25">
      <c r="B286" s="3"/>
      <c r="C286" s="60"/>
      <c r="D286" s="61"/>
      <c r="E286" s="61"/>
      <c r="F286" s="61"/>
      <c r="G286" s="61"/>
      <c r="H286" s="61"/>
      <c r="I286" s="61"/>
      <c r="J286" s="62"/>
      <c r="K286" s="42"/>
      <c r="L286" s="43"/>
      <c r="M286" s="44"/>
      <c r="N286" s="42"/>
      <c r="O286" s="43"/>
      <c r="P286" s="43"/>
      <c r="Q286" s="43"/>
      <c r="R286" s="43"/>
      <c r="S286" s="44"/>
      <c r="T286" s="42"/>
      <c r="U286" s="43"/>
      <c r="V286" s="43"/>
      <c r="W286" s="43"/>
      <c r="X286" s="43"/>
      <c r="Y286" s="44"/>
      <c r="Z286" s="42"/>
      <c r="AA286" s="43"/>
      <c r="AB286" s="43"/>
      <c r="AC286" s="43"/>
      <c r="AD286" s="43"/>
      <c r="AE286" s="44"/>
      <c r="AF286" s="54"/>
      <c r="AG286" s="55"/>
      <c r="AH286" s="55"/>
      <c r="AI286" s="55"/>
      <c r="AJ286" s="56"/>
      <c r="AK286" s="57"/>
      <c r="AL286" s="58"/>
      <c r="AM286" s="58"/>
      <c r="AN286" s="58"/>
      <c r="AO286" s="59"/>
      <c r="AP286" s="57"/>
      <c r="AQ286" s="58"/>
      <c r="AR286" s="58"/>
      <c r="AS286" s="58"/>
      <c r="AT286" s="59"/>
      <c r="AU286" s="57"/>
      <c r="AV286" s="58"/>
      <c r="AW286" s="58"/>
      <c r="AX286" s="58"/>
      <c r="AY286" s="59"/>
      <c r="AZ286" s="45"/>
      <c r="BA286" s="46"/>
      <c r="BB286" s="46"/>
      <c r="BC286" s="46"/>
      <c r="BD286" s="47"/>
      <c r="BJ286" t="s">
        <v>8</v>
      </c>
    </row>
    <row r="287" spans="2:72" ht="30" customHeight="1" x14ac:dyDescent="0.25">
      <c r="B287" s="3"/>
      <c r="C287" s="60"/>
      <c r="D287" s="61"/>
      <c r="E287" s="61"/>
      <c r="F287" s="61"/>
      <c r="G287" s="61"/>
      <c r="H287" s="61"/>
      <c r="I287" s="61"/>
      <c r="J287" s="62"/>
      <c r="K287" s="42"/>
      <c r="L287" s="43"/>
      <c r="M287" s="44"/>
      <c r="N287" s="42"/>
      <c r="O287" s="43"/>
      <c r="P287" s="43"/>
      <c r="Q287" s="43"/>
      <c r="R287" s="43"/>
      <c r="S287" s="44"/>
      <c r="T287" s="42"/>
      <c r="U287" s="43"/>
      <c r="V287" s="43"/>
      <c r="W287" s="43"/>
      <c r="X287" s="43"/>
      <c r="Y287" s="44"/>
      <c r="Z287" s="42"/>
      <c r="AA287" s="43"/>
      <c r="AB287" s="43"/>
      <c r="AC287" s="43"/>
      <c r="AD287" s="43"/>
      <c r="AE287" s="44"/>
      <c r="AF287" s="54"/>
      <c r="AG287" s="55"/>
      <c r="AH287" s="55"/>
      <c r="AI287" s="55"/>
      <c r="AJ287" s="56"/>
      <c r="AK287" s="57"/>
      <c r="AL287" s="58"/>
      <c r="AM287" s="58"/>
      <c r="AN287" s="58"/>
      <c r="AO287" s="59"/>
      <c r="AP287" s="57"/>
      <c r="AQ287" s="58"/>
      <c r="AR287" s="58"/>
      <c r="AS287" s="58"/>
      <c r="AT287" s="59"/>
      <c r="AU287" s="57"/>
      <c r="AV287" s="58"/>
      <c r="AW287" s="58"/>
      <c r="AX287" s="58"/>
      <c r="AY287" s="59"/>
      <c r="AZ287" s="45"/>
      <c r="BA287" s="46"/>
      <c r="BB287" s="46"/>
      <c r="BC287" s="46"/>
      <c r="BD287" s="47"/>
      <c r="BJ287" t="s">
        <v>8</v>
      </c>
    </row>
    <row r="288" spans="2:72" ht="30" customHeight="1" x14ac:dyDescent="0.25">
      <c r="B288" s="36" t="s">
        <v>25</v>
      </c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7">
        <v>1230000</v>
      </c>
      <c r="BA288" s="37"/>
      <c r="BB288" s="37"/>
      <c r="BC288" s="37"/>
      <c r="BD288" s="37"/>
      <c r="BT288" t="s">
        <v>8</v>
      </c>
    </row>
    <row r="289" spans="2:56" ht="30" customHeight="1" x14ac:dyDescent="0.25">
      <c r="B289" s="38" t="s">
        <v>73</v>
      </c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</row>
    <row r="290" spans="2:56" ht="30" customHeight="1" x14ac:dyDescent="0.25">
      <c r="T290" t="s">
        <v>21</v>
      </c>
      <c r="AK290" t="s">
        <v>65</v>
      </c>
    </row>
    <row r="291" spans="2:56" x14ac:dyDescent="0.25">
      <c r="B291" s="4"/>
      <c r="C291" s="4"/>
      <c r="D291" s="4"/>
      <c r="E291" s="4"/>
      <c r="F291" s="4"/>
      <c r="G291" s="4"/>
      <c r="H291" s="4"/>
      <c r="I291" s="4"/>
      <c r="J291" s="4"/>
      <c r="T291" t="s">
        <v>22</v>
      </c>
      <c r="AK291" t="s">
        <v>23</v>
      </c>
      <c r="BB291" t="s">
        <v>8</v>
      </c>
    </row>
    <row r="292" spans="2:56" x14ac:dyDescent="0.25">
      <c r="B292" s="4"/>
      <c r="C292" s="4"/>
      <c r="D292" s="4"/>
      <c r="E292" s="4"/>
      <c r="F292" s="4"/>
      <c r="G292" s="4"/>
      <c r="H292" s="4"/>
      <c r="I292" s="4"/>
      <c r="J292" s="4"/>
    </row>
    <row r="293" spans="2:56" x14ac:dyDescent="0.25">
      <c r="B293" s="7"/>
      <c r="C293" s="7"/>
      <c r="D293" s="7"/>
      <c r="E293" s="7"/>
      <c r="F293" s="4"/>
      <c r="G293" s="4"/>
      <c r="H293" s="4"/>
      <c r="I293" s="4"/>
      <c r="J293" s="4"/>
      <c r="Y293" t="s">
        <v>8</v>
      </c>
      <c r="AR293" t="s">
        <v>8</v>
      </c>
    </row>
    <row r="295" spans="2:56" x14ac:dyDescent="0.25">
      <c r="T295" s="5" t="s">
        <v>101</v>
      </c>
      <c r="AK295" s="5" t="str">
        <f>C253</f>
        <v>Haryadi Sumiarto</v>
      </c>
    </row>
    <row r="296" spans="2:56" x14ac:dyDescent="0.25">
      <c r="T296" t="s">
        <v>28</v>
      </c>
    </row>
    <row r="302" spans="2:56" ht="18.75" x14ac:dyDescent="0.3">
      <c r="B302" s="70" t="s">
        <v>0</v>
      </c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 s="70"/>
      <c r="AX302" s="70"/>
      <c r="AY302" s="70"/>
      <c r="AZ302" s="70"/>
      <c r="BA302" s="70"/>
      <c r="BB302" s="70"/>
      <c r="BC302" s="70"/>
      <c r="BD302" s="70"/>
    </row>
    <row r="303" spans="2:56" ht="18.75" x14ac:dyDescent="0.3">
      <c r="B303" s="70" t="s">
        <v>1</v>
      </c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 s="70"/>
      <c r="AX303" s="70"/>
      <c r="AY303" s="70"/>
      <c r="AZ303" s="70"/>
      <c r="BA303" s="70"/>
      <c r="BB303" s="70"/>
      <c r="BC303" s="70"/>
      <c r="BD303" s="70"/>
    </row>
    <row r="304" spans="2:56" ht="18.75" x14ac:dyDescent="0.3">
      <c r="B304" s="8" t="s">
        <v>8</v>
      </c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</row>
    <row r="305" spans="2:56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 spans="2:56" x14ac:dyDescent="0.25">
      <c r="B306" s="64" t="s">
        <v>2</v>
      </c>
      <c r="C306" s="64"/>
      <c r="D306" s="64"/>
      <c r="E306" s="64"/>
      <c r="F306" s="64"/>
      <c r="G306" s="64"/>
      <c r="H306" s="64"/>
      <c r="I306" s="64"/>
      <c r="J306" s="1" t="s">
        <v>3</v>
      </c>
      <c r="K306" s="64" t="s">
        <v>87</v>
      </c>
      <c r="L306" s="64"/>
      <c r="M306" s="64"/>
      <c r="N306" s="64"/>
      <c r="O306" s="64"/>
      <c r="P306" s="64"/>
      <c r="Q306" s="64"/>
      <c r="R306" s="64"/>
      <c r="S306" s="64"/>
      <c r="AA306" s="64" t="s">
        <v>4</v>
      </c>
      <c r="AB306" s="64"/>
      <c r="AC306" s="64"/>
      <c r="AD306" s="64"/>
      <c r="AE306" s="64"/>
      <c r="AF306" s="64"/>
      <c r="AG306" s="64"/>
      <c r="AH306" t="s">
        <v>3</v>
      </c>
      <c r="AI306" s="65">
        <v>46048</v>
      </c>
      <c r="AJ306" s="65"/>
      <c r="AK306" s="65"/>
      <c r="AL306" s="65"/>
      <c r="AM306" s="65"/>
      <c r="AN306" s="65"/>
      <c r="AO306" s="65"/>
      <c r="AP306" s="65"/>
      <c r="AQ306" s="65"/>
      <c r="AR306" s="65"/>
    </row>
    <row r="307" spans="2:56" x14ac:dyDescent="0.25">
      <c r="B307" s="64" t="s">
        <v>5</v>
      </c>
      <c r="C307" s="64"/>
      <c r="D307" s="64"/>
      <c r="E307" s="64"/>
      <c r="F307" s="64"/>
      <c r="G307" s="64"/>
      <c r="H307" s="64"/>
      <c r="I307" s="64"/>
      <c r="J307" s="1" t="s">
        <v>3</v>
      </c>
      <c r="K307" s="65">
        <v>46048</v>
      </c>
      <c r="L307" s="65"/>
      <c r="M307" s="65"/>
      <c r="N307" s="65"/>
      <c r="O307" s="65"/>
      <c r="P307" s="65"/>
      <c r="Q307" s="65"/>
      <c r="R307" s="65"/>
      <c r="S307" s="65"/>
      <c r="AA307" s="64" t="s">
        <v>6</v>
      </c>
      <c r="AB307" s="64"/>
      <c r="AC307" s="64"/>
      <c r="AD307" s="64"/>
      <c r="AE307" s="64"/>
      <c r="AF307" s="64"/>
      <c r="AG307" s="64"/>
      <c r="AH307" t="s">
        <v>3</v>
      </c>
      <c r="AI307" s="65">
        <v>46048</v>
      </c>
      <c r="AJ307" s="65"/>
      <c r="AK307" s="65"/>
      <c r="AL307" s="65"/>
      <c r="AM307" s="65"/>
      <c r="AN307" s="65"/>
      <c r="AO307" s="65"/>
      <c r="AP307" s="65"/>
      <c r="AQ307" s="65"/>
      <c r="AR307" s="65"/>
    </row>
    <row r="308" spans="2:56" x14ac:dyDescent="0.25">
      <c r="B308" s="64" t="s">
        <v>7</v>
      </c>
      <c r="C308" s="64"/>
      <c r="D308" s="64"/>
      <c r="E308" s="64"/>
      <c r="F308" s="64"/>
      <c r="G308" s="64"/>
      <c r="H308" s="64"/>
      <c r="I308" s="64"/>
      <c r="J308" s="1" t="s">
        <v>3</v>
      </c>
      <c r="K308" s="64" t="s">
        <v>38</v>
      </c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W308" t="s">
        <v>8</v>
      </c>
    </row>
    <row r="309" spans="2:56" x14ac:dyDescent="0.25">
      <c r="J309" s="1"/>
    </row>
    <row r="310" spans="2:56" ht="24.95" customHeight="1" x14ac:dyDescent="0.25">
      <c r="B310" s="2" t="s">
        <v>9</v>
      </c>
      <c r="C310" s="36" t="s">
        <v>10</v>
      </c>
      <c r="D310" s="36"/>
      <c r="E310" s="36"/>
      <c r="F310" s="36"/>
      <c r="G310" s="36"/>
      <c r="H310" s="36"/>
      <c r="I310" s="36"/>
      <c r="J310" s="36"/>
      <c r="K310" s="36" t="s">
        <v>11</v>
      </c>
      <c r="L310" s="36"/>
      <c r="M310" s="36"/>
      <c r="N310" s="36" t="s">
        <v>12</v>
      </c>
      <c r="O310" s="36"/>
      <c r="P310" s="36"/>
      <c r="Q310" s="36"/>
      <c r="R310" s="36"/>
      <c r="S310" s="36"/>
      <c r="T310" s="36" t="s">
        <v>24</v>
      </c>
      <c r="U310" s="36"/>
      <c r="V310" s="36"/>
      <c r="W310" s="36"/>
      <c r="X310" s="36"/>
      <c r="Y310" s="36"/>
      <c r="Z310" s="36" t="s">
        <v>14</v>
      </c>
      <c r="AA310" s="36"/>
      <c r="AB310" s="36"/>
      <c r="AC310" s="36"/>
      <c r="AD310" s="36"/>
      <c r="AE310" s="36"/>
      <c r="AF310" s="36" t="s">
        <v>15</v>
      </c>
      <c r="AG310" s="36"/>
      <c r="AH310" s="36"/>
      <c r="AI310" s="36"/>
      <c r="AJ310" s="36"/>
      <c r="AK310" s="63" t="s">
        <v>16</v>
      </c>
      <c r="AL310" s="63"/>
      <c r="AM310" s="63"/>
      <c r="AN310" s="63"/>
      <c r="AO310" s="63"/>
      <c r="AP310" s="63" t="s">
        <v>17</v>
      </c>
      <c r="AQ310" s="63"/>
      <c r="AR310" s="63"/>
      <c r="AS310" s="63"/>
      <c r="AT310" s="63"/>
      <c r="AU310" s="36" t="s">
        <v>18</v>
      </c>
      <c r="AV310" s="36"/>
      <c r="AW310" s="36"/>
      <c r="AX310" s="36"/>
      <c r="AY310" s="36"/>
      <c r="AZ310" s="63" t="s">
        <v>19</v>
      </c>
      <c r="BA310" s="63"/>
      <c r="BB310" s="63"/>
      <c r="BC310" s="63"/>
      <c r="BD310" s="63"/>
    </row>
    <row r="311" spans="2:56" ht="24.95" customHeight="1" x14ac:dyDescent="0.25">
      <c r="B311" s="3" t="s">
        <v>20</v>
      </c>
      <c r="C311" s="60" t="s">
        <v>50</v>
      </c>
      <c r="D311" s="61"/>
      <c r="E311" s="61"/>
      <c r="F311" s="61"/>
      <c r="G311" s="61"/>
      <c r="H311" s="61"/>
      <c r="I311" s="61"/>
      <c r="J311" s="62"/>
      <c r="K311" s="36">
        <v>1747</v>
      </c>
      <c r="L311" s="36"/>
      <c r="M311" s="36"/>
      <c r="N311" s="36" t="s">
        <v>39</v>
      </c>
      <c r="O311" s="36"/>
      <c r="P311" s="36"/>
      <c r="Q311" s="36"/>
      <c r="R311" s="36"/>
      <c r="S311" s="36"/>
      <c r="T311" s="36" t="s">
        <v>36</v>
      </c>
      <c r="U311" s="36"/>
      <c r="V311" s="36"/>
      <c r="W311" s="36"/>
      <c r="X311" s="36"/>
      <c r="Y311" s="36"/>
      <c r="Z311" s="36" t="s">
        <v>32</v>
      </c>
      <c r="AA311" s="36"/>
      <c r="AB311" s="36"/>
      <c r="AC311" s="36"/>
      <c r="AD311" s="36"/>
      <c r="AE311" s="36"/>
      <c r="AF311" s="39">
        <v>100000</v>
      </c>
      <c r="AG311" s="39"/>
      <c r="AH311" s="39"/>
      <c r="AI311" s="39"/>
      <c r="AJ311" s="39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1">
        <f>AF311</f>
        <v>100000</v>
      </c>
      <c r="BA311" s="41"/>
      <c r="BB311" s="41"/>
      <c r="BC311" s="41"/>
      <c r="BD311" s="41"/>
    </row>
    <row r="312" spans="2:56" ht="24.95" customHeight="1" x14ac:dyDescent="0.25">
      <c r="B312" s="3"/>
      <c r="C312" s="38"/>
      <c r="D312" s="38"/>
      <c r="E312" s="38"/>
      <c r="F312" s="38"/>
      <c r="G312" s="38"/>
      <c r="H312" s="38"/>
      <c r="I312" s="38"/>
      <c r="J312" s="38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54"/>
      <c r="AG312" s="55"/>
      <c r="AH312" s="55"/>
      <c r="AI312" s="55"/>
      <c r="AJ312" s="56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1"/>
      <c r="BA312" s="41"/>
      <c r="BB312" s="41"/>
      <c r="BC312" s="41"/>
      <c r="BD312" s="41"/>
    </row>
    <row r="313" spans="2:56" ht="24.95" customHeight="1" x14ac:dyDescent="0.25">
      <c r="B313" s="3"/>
      <c r="C313" s="38"/>
      <c r="D313" s="38"/>
      <c r="E313" s="38"/>
      <c r="F313" s="38"/>
      <c r="G313" s="38"/>
      <c r="H313" s="38"/>
      <c r="I313" s="38"/>
      <c r="J313" s="38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9"/>
      <c r="AG313" s="39"/>
      <c r="AH313" s="39"/>
      <c r="AI313" s="39"/>
      <c r="AJ313" s="39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1"/>
      <c r="BA313" s="41"/>
      <c r="BB313" s="41"/>
      <c r="BC313" s="41"/>
      <c r="BD313" s="41"/>
    </row>
    <row r="314" spans="2:56" ht="24.95" customHeight="1" x14ac:dyDescent="0.25">
      <c r="B314" s="3"/>
      <c r="C314" s="38"/>
      <c r="D314" s="38"/>
      <c r="E314" s="38"/>
      <c r="F314" s="38"/>
      <c r="G314" s="38"/>
      <c r="H314" s="38"/>
      <c r="I314" s="38"/>
      <c r="J314" s="38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9"/>
      <c r="AG314" s="39"/>
      <c r="AH314" s="39"/>
      <c r="AI314" s="39"/>
      <c r="AJ314" s="39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1"/>
      <c r="BA314" s="41"/>
      <c r="BB314" s="41"/>
      <c r="BC314" s="41"/>
      <c r="BD314" s="41"/>
    </row>
    <row r="315" spans="2:56" ht="24.95" customHeight="1" x14ac:dyDescent="0.25">
      <c r="B315" s="3"/>
      <c r="C315" s="38"/>
      <c r="D315" s="38"/>
      <c r="E315" s="38"/>
      <c r="F315" s="38"/>
      <c r="G315" s="38"/>
      <c r="H315" s="38"/>
      <c r="I315" s="38"/>
      <c r="J315" s="38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9"/>
      <c r="AG315" s="39"/>
      <c r="AH315" s="39"/>
      <c r="AI315" s="39"/>
      <c r="AJ315" s="39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1"/>
      <c r="BA315" s="41"/>
      <c r="BB315" s="41"/>
      <c r="BC315" s="41"/>
      <c r="BD315" s="41"/>
    </row>
    <row r="316" spans="2:56" ht="24.95" customHeight="1" x14ac:dyDescent="0.25">
      <c r="B316" s="3"/>
      <c r="C316" s="38"/>
      <c r="D316" s="38"/>
      <c r="E316" s="38"/>
      <c r="F316" s="38"/>
      <c r="G316" s="38"/>
      <c r="H316" s="38"/>
      <c r="I316" s="38"/>
      <c r="J316" s="38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9"/>
      <c r="AG316" s="39"/>
      <c r="AH316" s="39"/>
      <c r="AI316" s="39"/>
      <c r="AJ316" s="39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1"/>
      <c r="BA316" s="41"/>
      <c r="BB316" s="41"/>
      <c r="BC316" s="41"/>
      <c r="BD316" s="41"/>
    </row>
    <row r="317" spans="2:56" ht="24.95" customHeight="1" x14ac:dyDescent="0.25">
      <c r="B317" s="36" t="s">
        <v>25</v>
      </c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7">
        <f>SUM(AZ311:AZ316)</f>
        <v>100000</v>
      </c>
      <c r="BA317" s="37"/>
      <c r="BB317" s="37"/>
      <c r="BC317" s="37"/>
      <c r="BD317" s="37"/>
    </row>
    <row r="318" spans="2:56" ht="24.95" customHeight="1" x14ac:dyDescent="0.25">
      <c r="B318" s="38" t="s">
        <v>88</v>
      </c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</row>
    <row r="319" spans="2:56" x14ac:dyDescent="0.25">
      <c r="T319" t="s">
        <v>21</v>
      </c>
      <c r="AK319" t="s">
        <v>89</v>
      </c>
    </row>
    <row r="320" spans="2:56" x14ac:dyDescent="0.25">
      <c r="B320" s="4"/>
      <c r="C320" s="4"/>
      <c r="D320" s="4"/>
      <c r="E320" s="4"/>
      <c r="F320" s="4"/>
      <c r="G320" s="4"/>
      <c r="H320" s="4"/>
      <c r="I320" s="4"/>
      <c r="J320" s="4"/>
      <c r="T320" t="s">
        <v>22</v>
      </c>
      <c r="AK320" t="s">
        <v>23</v>
      </c>
      <c r="BB320" t="s">
        <v>8</v>
      </c>
    </row>
    <row r="321" spans="2:56" x14ac:dyDescent="0.25">
      <c r="B321" s="4"/>
      <c r="C321" s="4"/>
      <c r="D321" s="4"/>
      <c r="E321" s="4"/>
      <c r="F321" s="4"/>
      <c r="G321" s="4"/>
      <c r="H321" s="4"/>
      <c r="I321" s="4"/>
      <c r="J321" s="4"/>
    </row>
    <row r="322" spans="2:56" x14ac:dyDescent="0.25">
      <c r="B322" s="4"/>
      <c r="C322" s="4"/>
      <c r="D322" s="4"/>
      <c r="E322" s="4"/>
      <c r="F322" s="4"/>
      <c r="G322" s="4"/>
      <c r="H322" s="4"/>
      <c r="I322" s="4"/>
      <c r="J322" s="4"/>
    </row>
    <row r="323" spans="2:56" x14ac:dyDescent="0.25">
      <c r="B323" s="4"/>
      <c r="C323" s="4"/>
      <c r="D323" s="4"/>
      <c r="E323" s="4"/>
      <c r="F323" s="4"/>
      <c r="G323" s="4"/>
      <c r="H323" s="4"/>
      <c r="I323" s="4"/>
      <c r="J323" s="4"/>
    </row>
    <row r="324" spans="2:56" x14ac:dyDescent="0.25">
      <c r="B324" s="4"/>
      <c r="C324" s="4"/>
      <c r="D324" s="4"/>
      <c r="E324" s="4"/>
      <c r="F324" s="4"/>
      <c r="G324" s="4"/>
      <c r="H324" s="4"/>
      <c r="I324" s="4"/>
      <c r="J324" s="4"/>
      <c r="T324" s="5" t="s">
        <v>101</v>
      </c>
      <c r="Y324" t="s">
        <v>8</v>
      </c>
      <c r="AK324" s="5" t="str">
        <f>C311</f>
        <v>R. Iman Santoso</v>
      </c>
      <c r="AR324" t="s">
        <v>8</v>
      </c>
    </row>
    <row r="325" spans="2:56" x14ac:dyDescent="0.25">
      <c r="B325" s="4"/>
      <c r="C325" s="4"/>
      <c r="D325" s="4"/>
      <c r="E325" s="4"/>
      <c r="F325" s="4"/>
      <c r="G325" s="4"/>
      <c r="H325" s="4"/>
      <c r="I325" s="4"/>
      <c r="J325" s="4"/>
      <c r="T325" t="s">
        <v>27</v>
      </c>
      <c r="AK325" s="5"/>
    </row>
    <row r="326" spans="2:56" x14ac:dyDescent="0.25">
      <c r="B326" s="4"/>
      <c r="C326" s="4"/>
      <c r="D326" s="4"/>
      <c r="E326" s="4"/>
      <c r="F326" s="4"/>
      <c r="G326" s="4"/>
      <c r="H326" s="4"/>
      <c r="I326" s="4"/>
      <c r="J326" s="4"/>
      <c r="AK326" s="5"/>
    </row>
    <row r="327" spans="2:56" x14ac:dyDescent="0.25">
      <c r="B327" s="4"/>
      <c r="C327" s="4"/>
      <c r="D327" s="4"/>
      <c r="E327" s="4"/>
      <c r="F327" s="4"/>
      <c r="G327" s="4"/>
      <c r="H327" s="4"/>
      <c r="I327" s="4"/>
      <c r="J327" s="4"/>
      <c r="AK327" s="5"/>
    </row>
    <row r="329" spans="2:56" ht="18.75" x14ac:dyDescent="0.3">
      <c r="B329" s="70" t="s">
        <v>0</v>
      </c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 s="70"/>
      <c r="AX329" s="70"/>
      <c r="AY329" s="70"/>
      <c r="AZ329" s="70"/>
      <c r="BA329" s="70"/>
      <c r="BB329" s="70"/>
      <c r="BC329" s="70"/>
      <c r="BD329" s="70"/>
    </row>
    <row r="330" spans="2:56" ht="18.75" x14ac:dyDescent="0.3">
      <c r="B330" s="70" t="s">
        <v>1</v>
      </c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70"/>
      <c r="AX330" s="70"/>
      <c r="AY330" s="70"/>
      <c r="AZ330" s="70"/>
      <c r="BA330" s="70"/>
      <c r="BB330" s="70"/>
      <c r="BC330" s="70"/>
      <c r="BD330" s="70"/>
    </row>
    <row r="331" spans="2:56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3" spans="2:56" x14ac:dyDescent="0.25">
      <c r="B333" s="64" t="s">
        <v>2</v>
      </c>
      <c r="C333" s="64"/>
      <c r="D333" s="64"/>
      <c r="E333" s="64"/>
      <c r="F333" s="64"/>
      <c r="G333" s="64"/>
      <c r="H333" s="64"/>
      <c r="I333" s="64"/>
      <c r="J333" s="1" t="s">
        <v>3</v>
      </c>
      <c r="K333" s="64" t="s">
        <v>74</v>
      </c>
      <c r="L333" s="64"/>
      <c r="M333" s="64"/>
      <c r="N333" s="64"/>
      <c r="O333" s="64"/>
      <c r="P333" s="64"/>
      <c r="Q333" s="64"/>
      <c r="R333" s="64"/>
      <c r="S333" s="64"/>
      <c r="AA333" s="64" t="s">
        <v>4</v>
      </c>
      <c r="AB333" s="64"/>
      <c r="AC333" s="64"/>
      <c r="AD333" s="64"/>
      <c r="AE333" s="64"/>
      <c r="AF333" s="64"/>
      <c r="AG333" s="64"/>
      <c r="AH333" t="s">
        <v>3</v>
      </c>
      <c r="AI333" s="65">
        <v>45953</v>
      </c>
      <c r="AJ333" s="65"/>
      <c r="AK333" s="65"/>
      <c r="AL333" s="65"/>
      <c r="AM333" s="65"/>
      <c r="AN333" s="65"/>
      <c r="AO333" s="65"/>
      <c r="AP333" s="65"/>
      <c r="AQ333" s="65"/>
      <c r="AR333" s="65"/>
    </row>
    <row r="334" spans="2:56" x14ac:dyDescent="0.25">
      <c r="B334" s="64" t="s">
        <v>5</v>
      </c>
      <c r="C334" s="64"/>
      <c r="D334" s="64"/>
      <c r="E334" s="64"/>
      <c r="F334" s="64"/>
      <c r="G334" s="64"/>
      <c r="H334" s="64"/>
      <c r="I334" s="64"/>
      <c r="J334" s="1" t="s">
        <v>3</v>
      </c>
      <c r="K334" s="65">
        <v>45953</v>
      </c>
      <c r="L334" s="65"/>
      <c r="M334" s="65"/>
      <c r="N334" s="65"/>
      <c r="O334" s="65"/>
      <c r="P334" s="65"/>
      <c r="Q334" s="65"/>
      <c r="R334" s="65"/>
      <c r="S334" s="65"/>
      <c r="AA334" s="64" t="s">
        <v>6</v>
      </c>
      <c r="AB334" s="64"/>
      <c r="AC334" s="64"/>
      <c r="AD334" s="64"/>
      <c r="AE334" s="64"/>
      <c r="AF334" s="64"/>
      <c r="AG334" s="64"/>
      <c r="AH334" t="s">
        <v>3</v>
      </c>
      <c r="AI334" s="65">
        <v>45958</v>
      </c>
      <c r="AJ334" s="65"/>
      <c r="AK334" s="65"/>
      <c r="AL334" s="65"/>
      <c r="AM334" s="65"/>
      <c r="AN334" s="65"/>
      <c r="AO334" s="65"/>
      <c r="AP334" s="65"/>
      <c r="AQ334" s="65"/>
      <c r="AR334" s="65"/>
    </row>
    <row r="335" spans="2:56" x14ac:dyDescent="0.25">
      <c r="B335" s="64" t="s">
        <v>7</v>
      </c>
      <c r="C335" s="64"/>
      <c r="D335" s="64"/>
      <c r="E335" s="64"/>
      <c r="F335" s="64"/>
      <c r="G335" s="64"/>
      <c r="H335" s="64"/>
      <c r="I335" s="64"/>
      <c r="J335" s="1" t="s">
        <v>3</v>
      </c>
      <c r="K335" s="64" t="s">
        <v>75</v>
      </c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</row>
    <row r="336" spans="2:56" x14ac:dyDescent="0.25">
      <c r="J336" s="1"/>
    </row>
    <row r="337" spans="2:67" ht="30" customHeight="1" x14ac:dyDescent="0.25">
      <c r="B337" s="2" t="s">
        <v>9</v>
      </c>
      <c r="C337" s="36" t="s">
        <v>10</v>
      </c>
      <c r="D337" s="36"/>
      <c r="E337" s="36"/>
      <c r="F337" s="36"/>
      <c r="G337" s="36"/>
      <c r="H337" s="36"/>
      <c r="I337" s="36"/>
      <c r="J337" s="36"/>
      <c r="K337" s="36" t="s">
        <v>11</v>
      </c>
      <c r="L337" s="36"/>
      <c r="M337" s="36"/>
      <c r="N337" s="36" t="s">
        <v>12</v>
      </c>
      <c r="O337" s="36"/>
      <c r="P337" s="36"/>
      <c r="Q337" s="36"/>
      <c r="R337" s="36"/>
      <c r="S337" s="36"/>
      <c r="T337" s="36" t="s">
        <v>24</v>
      </c>
      <c r="U337" s="36"/>
      <c r="V337" s="36"/>
      <c r="W337" s="36"/>
      <c r="X337" s="36"/>
      <c r="Y337" s="36"/>
      <c r="Z337" s="36" t="s">
        <v>14</v>
      </c>
      <c r="AA337" s="36"/>
      <c r="AB337" s="36"/>
      <c r="AC337" s="36"/>
      <c r="AD337" s="36"/>
      <c r="AE337" s="36"/>
      <c r="AF337" s="36" t="s">
        <v>15</v>
      </c>
      <c r="AG337" s="36"/>
      <c r="AH337" s="36"/>
      <c r="AI337" s="36"/>
      <c r="AJ337" s="36"/>
      <c r="AK337" s="63" t="s">
        <v>16</v>
      </c>
      <c r="AL337" s="63"/>
      <c r="AM337" s="63"/>
      <c r="AN337" s="63"/>
      <c r="AO337" s="63"/>
      <c r="AP337" s="63" t="s">
        <v>17</v>
      </c>
      <c r="AQ337" s="63"/>
      <c r="AR337" s="63"/>
      <c r="AS337" s="63"/>
      <c r="AT337" s="63"/>
      <c r="AU337" s="36" t="s">
        <v>18</v>
      </c>
      <c r="AV337" s="36"/>
      <c r="AW337" s="36"/>
      <c r="AX337" s="36"/>
      <c r="AY337" s="36"/>
      <c r="AZ337" s="63" t="s">
        <v>19</v>
      </c>
      <c r="BA337" s="63"/>
      <c r="BB337" s="63"/>
      <c r="BC337" s="63"/>
      <c r="BD337" s="63"/>
      <c r="BN337" t="s">
        <v>8</v>
      </c>
      <c r="BO337" t="s">
        <v>8</v>
      </c>
    </row>
    <row r="338" spans="2:67" ht="30" customHeight="1" x14ac:dyDescent="0.25">
      <c r="B338" s="3" t="s">
        <v>20</v>
      </c>
      <c r="C338" s="60" t="s">
        <v>77</v>
      </c>
      <c r="D338" s="61"/>
      <c r="E338" s="61"/>
      <c r="F338" s="61"/>
      <c r="G338" s="61"/>
      <c r="H338" s="61"/>
      <c r="I338" s="61"/>
      <c r="J338" s="62"/>
      <c r="K338" s="42">
        <v>1776</v>
      </c>
      <c r="L338" s="43"/>
      <c r="M338" s="44"/>
      <c r="N338" s="51" t="s">
        <v>40</v>
      </c>
      <c r="O338" s="52"/>
      <c r="P338" s="52"/>
      <c r="Q338" s="52"/>
      <c r="R338" s="52"/>
      <c r="S338" s="53"/>
      <c r="T338" s="51" t="s">
        <v>78</v>
      </c>
      <c r="U338" s="52"/>
      <c r="V338" s="52"/>
      <c r="W338" s="52"/>
      <c r="X338" s="52"/>
      <c r="Y338" s="53"/>
      <c r="Z338" s="42" t="s">
        <v>76</v>
      </c>
      <c r="AA338" s="43"/>
      <c r="AB338" s="43"/>
      <c r="AC338" s="43"/>
      <c r="AD338" s="43"/>
      <c r="AE338" s="44"/>
      <c r="AF338" s="54">
        <v>150000</v>
      </c>
      <c r="AG338" s="55"/>
      <c r="AH338" s="55"/>
      <c r="AI338" s="55"/>
      <c r="AJ338" s="56"/>
      <c r="AK338" s="67"/>
      <c r="AL338" s="68"/>
      <c r="AM338" s="68"/>
      <c r="AN338" s="68"/>
      <c r="AO338" s="69"/>
      <c r="AP338" s="67"/>
      <c r="AQ338" s="68"/>
      <c r="AR338" s="68"/>
      <c r="AS338" s="68"/>
      <c r="AT338" s="69"/>
      <c r="AU338" s="57"/>
      <c r="AV338" s="58"/>
      <c r="AW338" s="58"/>
      <c r="AX338" s="58"/>
      <c r="AY338" s="59"/>
      <c r="AZ338" s="45">
        <f>AF338*6</f>
        <v>900000</v>
      </c>
      <c r="BA338" s="46"/>
      <c r="BB338" s="46"/>
      <c r="BC338" s="46"/>
      <c r="BD338" s="47"/>
      <c r="BN338" t="s">
        <v>8</v>
      </c>
      <c r="BO338" t="s">
        <v>8</v>
      </c>
    </row>
    <row r="339" spans="2:67" ht="30" customHeight="1" x14ac:dyDescent="0.25">
      <c r="B339" s="3"/>
      <c r="C339" s="60"/>
      <c r="D339" s="61"/>
      <c r="E339" s="61"/>
      <c r="F339" s="61"/>
      <c r="G339" s="61"/>
      <c r="H339" s="61"/>
      <c r="I339" s="61"/>
      <c r="J339" s="62"/>
      <c r="K339" s="42"/>
      <c r="L339" s="43"/>
      <c r="M339" s="44"/>
      <c r="N339" s="51"/>
      <c r="O339" s="52"/>
      <c r="P339" s="52"/>
      <c r="Q339" s="52"/>
      <c r="R339" s="52"/>
      <c r="S339" s="53"/>
      <c r="T339" s="42"/>
      <c r="U339" s="43"/>
      <c r="V339" s="43"/>
      <c r="W339" s="43"/>
      <c r="X339" s="43"/>
      <c r="Y339" s="44"/>
      <c r="Z339" s="42"/>
      <c r="AA339" s="43"/>
      <c r="AB339" s="43"/>
      <c r="AC339" s="43"/>
      <c r="AD339" s="43"/>
      <c r="AE339" s="44"/>
      <c r="AF339" s="54"/>
      <c r="AG339" s="55"/>
      <c r="AH339" s="55"/>
      <c r="AI339" s="55"/>
      <c r="AJ339" s="56"/>
      <c r="AK339" s="67"/>
      <c r="AL339" s="68"/>
      <c r="AM339" s="68"/>
      <c r="AN339" s="68"/>
      <c r="AO339" s="69"/>
      <c r="AP339" s="67"/>
      <c r="AQ339" s="68"/>
      <c r="AR339" s="68"/>
      <c r="AS339" s="68"/>
      <c r="AT339" s="69"/>
      <c r="AU339" s="57"/>
      <c r="AV339" s="58"/>
      <c r="AW339" s="58"/>
      <c r="AX339" s="58"/>
      <c r="AY339" s="59"/>
      <c r="AZ339" s="45"/>
      <c r="BA339" s="46"/>
      <c r="BB339" s="46"/>
      <c r="BC339" s="46"/>
      <c r="BD339" s="47"/>
      <c r="BL339" t="s">
        <v>8</v>
      </c>
      <c r="BO339" t="s">
        <v>8</v>
      </c>
    </row>
    <row r="340" spans="2:67" ht="30" customHeight="1" x14ac:dyDescent="0.25">
      <c r="B340" s="3"/>
      <c r="C340" s="48"/>
      <c r="D340" s="49"/>
      <c r="E340" s="49"/>
      <c r="F340" s="49"/>
      <c r="G340" s="49"/>
      <c r="H340" s="49"/>
      <c r="I340" s="49"/>
      <c r="J340" s="50"/>
      <c r="K340" s="42"/>
      <c r="L340" s="43"/>
      <c r="M340" s="44"/>
      <c r="N340" s="51"/>
      <c r="O340" s="52"/>
      <c r="P340" s="52"/>
      <c r="Q340" s="52"/>
      <c r="R340" s="52"/>
      <c r="S340" s="53"/>
      <c r="T340" s="42"/>
      <c r="U340" s="43"/>
      <c r="V340" s="43"/>
      <c r="W340" s="43"/>
      <c r="X340" s="43"/>
      <c r="Y340" s="44"/>
      <c r="Z340" s="42"/>
      <c r="AA340" s="43"/>
      <c r="AB340" s="43"/>
      <c r="AC340" s="43"/>
      <c r="AD340" s="43"/>
      <c r="AE340" s="44"/>
      <c r="AF340" s="54"/>
      <c r="AG340" s="55"/>
      <c r="AH340" s="55"/>
      <c r="AI340" s="55"/>
      <c r="AJ340" s="56"/>
      <c r="AK340" s="67"/>
      <c r="AL340" s="68"/>
      <c r="AM340" s="68"/>
      <c r="AN340" s="68"/>
      <c r="AO340" s="69"/>
      <c r="AP340" s="67"/>
      <c r="AQ340" s="68"/>
      <c r="AR340" s="68"/>
      <c r="AS340" s="68"/>
      <c r="AT340" s="69"/>
      <c r="AU340" s="57"/>
      <c r="AV340" s="58"/>
      <c r="AW340" s="58"/>
      <c r="AX340" s="58"/>
      <c r="AY340" s="59"/>
      <c r="AZ340" s="45"/>
      <c r="BA340" s="46"/>
      <c r="BB340" s="46"/>
      <c r="BC340" s="46"/>
      <c r="BD340" s="47"/>
      <c r="BL340" t="s">
        <v>8</v>
      </c>
    </row>
    <row r="341" spans="2:67" ht="30" customHeight="1" x14ac:dyDescent="0.25">
      <c r="B341" s="3"/>
      <c r="C341" s="48"/>
      <c r="D341" s="49"/>
      <c r="E341" s="49"/>
      <c r="F341" s="49"/>
      <c r="G341" s="49"/>
      <c r="H341" s="49"/>
      <c r="I341" s="49"/>
      <c r="J341" s="50"/>
      <c r="K341" s="42"/>
      <c r="L341" s="43"/>
      <c r="M341" s="44"/>
      <c r="N341" s="51"/>
      <c r="O341" s="52"/>
      <c r="P341" s="52"/>
      <c r="Q341" s="52"/>
      <c r="R341" s="52"/>
      <c r="S341" s="53"/>
      <c r="T341" s="42"/>
      <c r="U341" s="43"/>
      <c r="V341" s="43"/>
      <c r="W341" s="43"/>
      <c r="X341" s="43"/>
      <c r="Y341" s="44"/>
      <c r="Z341" s="42"/>
      <c r="AA341" s="43"/>
      <c r="AB341" s="43"/>
      <c r="AC341" s="43"/>
      <c r="AD341" s="43"/>
      <c r="AE341" s="44"/>
      <c r="AF341" s="54"/>
      <c r="AG341" s="55"/>
      <c r="AH341" s="55"/>
      <c r="AI341" s="55"/>
      <c r="AJ341" s="56"/>
      <c r="AK341" s="57"/>
      <c r="AL341" s="58"/>
      <c r="AM341" s="58"/>
      <c r="AN341" s="58"/>
      <c r="AO341" s="59"/>
      <c r="AP341" s="57"/>
      <c r="AQ341" s="58"/>
      <c r="AR341" s="58"/>
      <c r="AS341" s="58"/>
      <c r="AT341" s="59"/>
      <c r="AU341" s="57"/>
      <c r="AV341" s="58"/>
      <c r="AW341" s="58"/>
      <c r="AX341" s="58"/>
      <c r="AY341" s="59"/>
      <c r="AZ341" s="45"/>
      <c r="BA341" s="46"/>
      <c r="BB341" s="46"/>
      <c r="BC341" s="46"/>
      <c r="BD341" s="47"/>
    </row>
    <row r="342" spans="2:67" ht="30" customHeight="1" x14ac:dyDescent="0.25">
      <c r="B342" s="3"/>
      <c r="C342" s="60"/>
      <c r="D342" s="61"/>
      <c r="E342" s="61"/>
      <c r="F342" s="61"/>
      <c r="G342" s="61"/>
      <c r="H342" s="61"/>
      <c r="I342" s="61"/>
      <c r="J342" s="62"/>
      <c r="K342" s="42"/>
      <c r="L342" s="43"/>
      <c r="M342" s="44"/>
      <c r="N342" s="42"/>
      <c r="O342" s="43"/>
      <c r="P342" s="43"/>
      <c r="Q342" s="43"/>
      <c r="R342" s="43"/>
      <c r="S342" s="44"/>
      <c r="T342" s="42"/>
      <c r="U342" s="43"/>
      <c r="V342" s="43"/>
      <c r="W342" s="43"/>
      <c r="X342" s="43"/>
      <c r="Y342" s="44"/>
      <c r="Z342" s="42"/>
      <c r="AA342" s="43"/>
      <c r="AB342" s="43"/>
      <c r="AC342" s="43"/>
      <c r="AD342" s="43"/>
      <c r="AE342" s="44"/>
      <c r="AF342" s="54"/>
      <c r="AG342" s="55"/>
      <c r="AH342" s="55"/>
      <c r="AI342" s="55"/>
      <c r="AJ342" s="56"/>
      <c r="AK342" s="57"/>
      <c r="AL342" s="58"/>
      <c r="AM342" s="58"/>
      <c r="AN342" s="58"/>
      <c r="AO342" s="59"/>
      <c r="AP342" s="57"/>
      <c r="AQ342" s="58"/>
      <c r="AR342" s="58"/>
      <c r="AS342" s="58"/>
      <c r="AT342" s="59"/>
      <c r="AU342" s="57"/>
      <c r="AV342" s="58"/>
      <c r="AW342" s="58"/>
      <c r="AX342" s="58"/>
      <c r="AY342" s="59"/>
      <c r="AZ342" s="45"/>
      <c r="BA342" s="46"/>
      <c r="BB342" s="46"/>
      <c r="BC342" s="46"/>
      <c r="BD342" s="47"/>
    </row>
    <row r="343" spans="2:67" ht="30" customHeight="1" x14ac:dyDescent="0.25">
      <c r="B343" s="3"/>
      <c r="C343" s="60"/>
      <c r="D343" s="61"/>
      <c r="E343" s="61"/>
      <c r="F343" s="61"/>
      <c r="G343" s="61"/>
      <c r="H343" s="61"/>
      <c r="I343" s="61"/>
      <c r="J343" s="62"/>
      <c r="K343" s="42"/>
      <c r="L343" s="43"/>
      <c r="M343" s="44"/>
      <c r="N343" s="42"/>
      <c r="O343" s="43"/>
      <c r="P343" s="43"/>
      <c r="Q343" s="43"/>
      <c r="R343" s="43"/>
      <c r="S343" s="44"/>
      <c r="T343" s="42"/>
      <c r="U343" s="43"/>
      <c r="V343" s="43"/>
      <c r="W343" s="43"/>
      <c r="X343" s="43"/>
      <c r="Y343" s="44"/>
      <c r="Z343" s="42"/>
      <c r="AA343" s="43"/>
      <c r="AB343" s="43"/>
      <c r="AC343" s="43"/>
      <c r="AD343" s="43"/>
      <c r="AE343" s="44"/>
      <c r="AF343" s="54"/>
      <c r="AG343" s="55"/>
      <c r="AH343" s="55"/>
      <c r="AI343" s="55"/>
      <c r="AJ343" s="56"/>
      <c r="AK343" s="57"/>
      <c r="AL343" s="58"/>
      <c r="AM343" s="58"/>
      <c r="AN343" s="58"/>
      <c r="AO343" s="59"/>
      <c r="AP343" s="57"/>
      <c r="AQ343" s="58"/>
      <c r="AR343" s="58"/>
      <c r="AS343" s="58"/>
      <c r="AT343" s="59"/>
      <c r="AU343" s="57"/>
      <c r="AV343" s="58"/>
      <c r="AW343" s="58"/>
      <c r="AX343" s="58"/>
      <c r="AY343" s="59"/>
      <c r="AZ343" s="45"/>
      <c r="BA343" s="46"/>
      <c r="BB343" s="46"/>
      <c r="BC343" s="46"/>
      <c r="BD343" s="47"/>
    </row>
    <row r="344" spans="2:67" ht="30" customHeight="1" x14ac:dyDescent="0.25">
      <c r="B344" s="3"/>
      <c r="C344" s="60"/>
      <c r="D344" s="61"/>
      <c r="E344" s="61"/>
      <c r="F344" s="61"/>
      <c r="G344" s="61"/>
      <c r="H344" s="61"/>
      <c r="I344" s="61"/>
      <c r="J344" s="62"/>
      <c r="K344" s="42"/>
      <c r="L344" s="43"/>
      <c r="M344" s="44"/>
      <c r="N344" s="42"/>
      <c r="O344" s="43"/>
      <c r="P344" s="43"/>
      <c r="Q344" s="43"/>
      <c r="R344" s="43"/>
      <c r="S344" s="44"/>
      <c r="T344" s="42"/>
      <c r="U344" s="43"/>
      <c r="V344" s="43"/>
      <c r="W344" s="43"/>
      <c r="X344" s="43"/>
      <c r="Y344" s="44"/>
      <c r="Z344" s="42"/>
      <c r="AA344" s="43"/>
      <c r="AB344" s="43"/>
      <c r="AC344" s="43"/>
      <c r="AD344" s="43"/>
      <c r="AE344" s="44"/>
      <c r="AF344" s="54"/>
      <c r="AG344" s="55"/>
      <c r="AH344" s="55"/>
      <c r="AI344" s="55"/>
      <c r="AJ344" s="56"/>
      <c r="AK344" s="57"/>
      <c r="AL344" s="58"/>
      <c r="AM344" s="58"/>
      <c r="AN344" s="58"/>
      <c r="AO344" s="59"/>
      <c r="AP344" s="57"/>
      <c r="AQ344" s="58"/>
      <c r="AR344" s="58"/>
      <c r="AS344" s="58"/>
      <c r="AT344" s="59"/>
      <c r="AU344" s="57"/>
      <c r="AV344" s="58"/>
      <c r="AW344" s="58"/>
      <c r="AX344" s="58"/>
      <c r="AY344" s="59"/>
      <c r="AZ344" s="45"/>
      <c r="BA344" s="46"/>
      <c r="BB344" s="46"/>
      <c r="BC344" s="46"/>
      <c r="BD344" s="47"/>
    </row>
    <row r="345" spans="2:67" ht="30" customHeight="1" x14ac:dyDescent="0.25">
      <c r="B345" s="36" t="s">
        <v>25</v>
      </c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7">
        <f>SUM(AZ338:AZ344)</f>
        <v>900000</v>
      </c>
      <c r="BA345" s="37"/>
      <c r="BB345" s="37"/>
      <c r="BC345" s="37"/>
      <c r="BD345" s="37"/>
    </row>
    <row r="346" spans="2:67" ht="30" customHeight="1" x14ac:dyDescent="0.25">
      <c r="B346" s="38" t="s">
        <v>79</v>
      </c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  <c r="AY346" s="38"/>
      <c r="AZ346" s="38"/>
      <c r="BA346" s="38"/>
      <c r="BB346" s="38"/>
      <c r="BC346" s="38"/>
      <c r="BD346" s="38"/>
    </row>
    <row r="347" spans="2:67" x14ac:dyDescent="0.25">
      <c r="T347" t="s">
        <v>21</v>
      </c>
      <c r="AK347" t="s">
        <v>80</v>
      </c>
    </row>
    <row r="348" spans="2:67" x14ac:dyDescent="0.25">
      <c r="B348" s="4"/>
      <c r="C348" s="4"/>
      <c r="D348" s="4"/>
      <c r="E348" s="4"/>
      <c r="F348" s="4"/>
      <c r="G348" s="4"/>
      <c r="H348" s="4"/>
      <c r="I348" s="4"/>
      <c r="J348" s="4"/>
      <c r="T348" t="s">
        <v>22</v>
      </c>
      <c r="AK348" t="s">
        <v>23</v>
      </c>
      <c r="BB348" t="s">
        <v>8</v>
      </c>
    </row>
    <row r="349" spans="2:67" x14ac:dyDescent="0.25">
      <c r="B349" s="4"/>
      <c r="C349" s="4"/>
      <c r="D349" s="4"/>
      <c r="E349" s="4"/>
      <c r="F349" s="4"/>
      <c r="G349" s="4"/>
      <c r="H349" s="4"/>
      <c r="I349" s="4"/>
      <c r="J349" s="4"/>
    </row>
    <row r="350" spans="2:67" x14ac:dyDescent="0.25">
      <c r="B350" s="4"/>
      <c r="C350" s="4"/>
      <c r="D350" s="4"/>
      <c r="E350" s="4"/>
      <c r="F350" s="4"/>
      <c r="G350" s="4"/>
      <c r="H350" s="4"/>
      <c r="I350" s="4"/>
      <c r="J350" s="4"/>
      <c r="Y350" t="s">
        <v>8</v>
      </c>
      <c r="AR350" t="s">
        <v>8</v>
      </c>
    </row>
    <row r="352" spans="2:67" x14ac:dyDescent="0.25">
      <c r="T352" s="5" t="s">
        <v>101</v>
      </c>
      <c r="AK352" s="5" t="str">
        <f>C338</f>
        <v>Asep Saripudin</v>
      </c>
    </row>
    <row r="353" spans="20:68" x14ac:dyDescent="0.25">
      <c r="T353" t="s">
        <v>28</v>
      </c>
    </row>
    <row r="361" spans="20:68" x14ac:dyDescent="0.25">
      <c r="BK361" t="s">
        <v>8</v>
      </c>
    </row>
    <row r="362" spans="20:68" ht="15" customHeight="1" x14ac:dyDescent="0.25">
      <c r="BP362" t="s">
        <v>8</v>
      </c>
    </row>
  </sheetData>
  <mergeCells count="1226">
    <mergeCell ref="B99:BD99"/>
    <mergeCell ref="B100:BD100"/>
    <mergeCell ref="C316:J316"/>
    <mergeCell ref="K316:M316"/>
    <mergeCell ref="N316:S316"/>
    <mergeCell ref="T316:Y316"/>
    <mergeCell ref="Z316:AE316"/>
    <mergeCell ref="AF316:AJ316"/>
    <mergeCell ref="AK316:AO316"/>
    <mergeCell ref="AP316:AT316"/>
    <mergeCell ref="AU316:AY316"/>
    <mergeCell ref="AZ316:BD316"/>
    <mergeCell ref="B317:AJ317"/>
    <mergeCell ref="AK317:AO317"/>
    <mergeCell ref="AP317:AT317"/>
    <mergeCell ref="AU317:AY317"/>
    <mergeCell ref="AZ317:BD317"/>
    <mergeCell ref="C312:J312"/>
    <mergeCell ref="K312:M312"/>
    <mergeCell ref="N312:S312"/>
    <mergeCell ref="T312:Y312"/>
    <mergeCell ref="Z312:AE312"/>
    <mergeCell ref="AF312:AJ312"/>
    <mergeCell ref="AK312:AO312"/>
    <mergeCell ref="AP312:AT312"/>
    <mergeCell ref="AU312:AY312"/>
    <mergeCell ref="AZ312:BD312"/>
    <mergeCell ref="C313:J313"/>
    <mergeCell ref="K313:M313"/>
    <mergeCell ref="N313:S313"/>
    <mergeCell ref="T313:Y313"/>
    <mergeCell ref="Z313:AE313"/>
    <mergeCell ref="B318:BD318"/>
    <mergeCell ref="C314:J314"/>
    <mergeCell ref="K314:M314"/>
    <mergeCell ref="N314:S314"/>
    <mergeCell ref="T314:Y314"/>
    <mergeCell ref="Z314:AE314"/>
    <mergeCell ref="AF314:AJ314"/>
    <mergeCell ref="AK314:AO314"/>
    <mergeCell ref="AP314:AT314"/>
    <mergeCell ref="AU314:AY314"/>
    <mergeCell ref="AZ314:BD314"/>
    <mergeCell ref="C315:J315"/>
    <mergeCell ref="K315:M315"/>
    <mergeCell ref="N315:S315"/>
    <mergeCell ref="T315:Y315"/>
    <mergeCell ref="Z315:AE315"/>
    <mergeCell ref="AF315:AJ315"/>
    <mergeCell ref="AK315:AO315"/>
    <mergeCell ref="AP315:AT315"/>
    <mergeCell ref="AU315:AY315"/>
    <mergeCell ref="AZ315:BD315"/>
    <mergeCell ref="AF313:AJ313"/>
    <mergeCell ref="AK313:AO313"/>
    <mergeCell ref="AP313:AT313"/>
    <mergeCell ref="AU313:AY313"/>
    <mergeCell ref="AZ313:BD313"/>
    <mergeCell ref="B307:I307"/>
    <mergeCell ref="K307:S307"/>
    <mergeCell ref="AA307:AG307"/>
    <mergeCell ref="AI307:AR307"/>
    <mergeCell ref="B308:I308"/>
    <mergeCell ref="K308:U308"/>
    <mergeCell ref="C310:J310"/>
    <mergeCell ref="K310:M310"/>
    <mergeCell ref="N310:S310"/>
    <mergeCell ref="T310:Y310"/>
    <mergeCell ref="Z310:AE310"/>
    <mergeCell ref="AF310:AJ310"/>
    <mergeCell ref="AK310:AO310"/>
    <mergeCell ref="AP310:AT310"/>
    <mergeCell ref="AU310:AY310"/>
    <mergeCell ref="AZ310:BD310"/>
    <mergeCell ref="C311:J311"/>
    <mergeCell ref="K311:M311"/>
    <mergeCell ref="N311:S311"/>
    <mergeCell ref="T311:Y311"/>
    <mergeCell ref="Z311:AE311"/>
    <mergeCell ref="AF311:AJ311"/>
    <mergeCell ref="AK311:AO311"/>
    <mergeCell ref="AP311:AT311"/>
    <mergeCell ref="AU311:AY311"/>
    <mergeCell ref="AZ311:BD311"/>
    <mergeCell ref="B86:AJ86"/>
    <mergeCell ref="AK86:AO86"/>
    <mergeCell ref="AP86:AT86"/>
    <mergeCell ref="AU86:AY86"/>
    <mergeCell ref="AZ86:BD86"/>
    <mergeCell ref="B87:BD87"/>
    <mergeCell ref="AZ83:BD83"/>
    <mergeCell ref="C84:J84"/>
    <mergeCell ref="K84:M84"/>
    <mergeCell ref="N84:S84"/>
    <mergeCell ref="T84:Y84"/>
    <mergeCell ref="Z84:AE84"/>
    <mergeCell ref="AF84:AJ84"/>
    <mergeCell ref="B302:BD302"/>
    <mergeCell ref="B303:BD303"/>
    <mergeCell ref="B306:I306"/>
    <mergeCell ref="K306:S306"/>
    <mergeCell ref="AA306:AG306"/>
    <mergeCell ref="AI306:AR306"/>
    <mergeCell ref="C83:J83"/>
    <mergeCell ref="K83:M83"/>
    <mergeCell ref="N83:S83"/>
    <mergeCell ref="T83:Y83"/>
    <mergeCell ref="AU83:AY83"/>
    <mergeCell ref="AZ288:BD288"/>
    <mergeCell ref="K278:AC278"/>
    <mergeCell ref="AK288:AO288"/>
    <mergeCell ref="AP288:AT288"/>
    <mergeCell ref="AU288:AY288"/>
    <mergeCell ref="AZ286:BD286"/>
    <mergeCell ref="C287:J287"/>
    <mergeCell ref="K287:M287"/>
    <mergeCell ref="C85:J85"/>
    <mergeCell ref="K85:M85"/>
    <mergeCell ref="N85:S85"/>
    <mergeCell ref="T85:Y85"/>
    <mergeCell ref="Z85:AE85"/>
    <mergeCell ref="AF85:AJ85"/>
    <mergeCell ref="AK85:AO85"/>
    <mergeCell ref="AP85:AT85"/>
    <mergeCell ref="AU85:AY85"/>
    <mergeCell ref="B71:BD71"/>
    <mergeCell ref="B72:BD72"/>
    <mergeCell ref="AZ85:BD85"/>
    <mergeCell ref="AK84:AO84"/>
    <mergeCell ref="AP84:AT84"/>
    <mergeCell ref="AU84:AY84"/>
    <mergeCell ref="AZ84:BD84"/>
    <mergeCell ref="B77:I77"/>
    <mergeCell ref="K77:U77"/>
    <mergeCell ref="C79:J79"/>
    <mergeCell ref="K79:M79"/>
    <mergeCell ref="N79:S79"/>
    <mergeCell ref="T79:Y79"/>
    <mergeCell ref="Z79:AE79"/>
    <mergeCell ref="AF79:AJ79"/>
    <mergeCell ref="AK79:AO79"/>
    <mergeCell ref="AP79:AT79"/>
    <mergeCell ref="Z83:AE83"/>
    <mergeCell ref="AF83:AJ83"/>
    <mergeCell ref="AK83:AO83"/>
    <mergeCell ref="AP83:AT83"/>
    <mergeCell ref="AZ81:BD81"/>
    <mergeCell ref="C82:J82"/>
    <mergeCell ref="K82:M82"/>
    <mergeCell ref="N82:S82"/>
    <mergeCell ref="T82:Y82"/>
    <mergeCell ref="Z82:AE82"/>
    <mergeCell ref="AF82:AJ82"/>
    <mergeCell ref="AK82:AO82"/>
    <mergeCell ref="AP82:AT82"/>
    <mergeCell ref="AU82:AY82"/>
    <mergeCell ref="AZ82:BD82"/>
    <mergeCell ref="C81:J81"/>
    <mergeCell ref="K81:M81"/>
    <mergeCell ref="N81:S81"/>
    <mergeCell ref="T81:Y81"/>
    <mergeCell ref="Z81:AE81"/>
    <mergeCell ref="AF81:AJ81"/>
    <mergeCell ref="AK81:AO81"/>
    <mergeCell ref="AP81:AT81"/>
    <mergeCell ref="N287:S287"/>
    <mergeCell ref="T287:Y287"/>
    <mergeCell ref="Z287:AE287"/>
    <mergeCell ref="AF287:AJ287"/>
    <mergeCell ref="AK287:AO287"/>
    <mergeCell ref="AP287:AT287"/>
    <mergeCell ref="AU287:AY287"/>
    <mergeCell ref="AZ287:BD287"/>
    <mergeCell ref="C286:J286"/>
    <mergeCell ref="K286:M286"/>
    <mergeCell ref="N286:S286"/>
    <mergeCell ref="T286:Y286"/>
    <mergeCell ref="Z286:AE286"/>
    <mergeCell ref="AF286:AJ286"/>
    <mergeCell ref="AK286:AO286"/>
    <mergeCell ref="AP286:AT286"/>
    <mergeCell ref="AU286:AY286"/>
    <mergeCell ref="AZ284:BD284"/>
    <mergeCell ref="C285:J285"/>
    <mergeCell ref="K285:M285"/>
    <mergeCell ref="N285:S285"/>
    <mergeCell ref="T285:Y285"/>
    <mergeCell ref="Z285:AE285"/>
    <mergeCell ref="AF285:AJ285"/>
    <mergeCell ref="AK285:AO285"/>
    <mergeCell ref="AP285:AT285"/>
    <mergeCell ref="AU285:AY285"/>
    <mergeCell ref="AZ285:BD285"/>
    <mergeCell ref="C284:J284"/>
    <mergeCell ref="K284:M284"/>
    <mergeCell ref="N284:S284"/>
    <mergeCell ref="T284:Y284"/>
    <mergeCell ref="Z284:AE284"/>
    <mergeCell ref="AF284:AJ284"/>
    <mergeCell ref="AK284:AO284"/>
    <mergeCell ref="AP284:AT284"/>
    <mergeCell ref="AU284:AY284"/>
    <mergeCell ref="AZ282:BD282"/>
    <mergeCell ref="C283:J283"/>
    <mergeCell ref="K283:M283"/>
    <mergeCell ref="N283:S283"/>
    <mergeCell ref="T283:Y283"/>
    <mergeCell ref="Z283:AE283"/>
    <mergeCell ref="AF283:AJ283"/>
    <mergeCell ref="AK283:AO283"/>
    <mergeCell ref="AP283:AT283"/>
    <mergeCell ref="AU283:AY283"/>
    <mergeCell ref="AZ283:BD283"/>
    <mergeCell ref="C282:J282"/>
    <mergeCell ref="K282:M282"/>
    <mergeCell ref="N282:S282"/>
    <mergeCell ref="T282:Y282"/>
    <mergeCell ref="Z282:AE282"/>
    <mergeCell ref="AF282:AJ282"/>
    <mergeCell ref="AK282:AO282"/>
    <mergeCell ref="AP282:AT282"/>
    <mergeCell ref="AU282:AY282"/>
    <mergeCell ref="B273:BD273"/>
    <mergeCell ref="B276:I276"/>
    <mergeCell ref="K276:S276"/>
    <mergeCell ref="AA276:AG276"/>
    <mergeCell ref="AI276:AR276"/>
    <mergeCell ref="B277:I277"/>
    <mergeCell ref="K277:S277"/>
    <mergeCell ref="AA277:AG277"/>
    <mergeCell ref="AI277:AR277"/>
    <mergeCell ref="B278:I278"/>
    <mergeCell ref="AZ280:BD280"/>
    <mergeCell ref="C281:J281"/>
    <mergeCell ref="K281:M281"/>
    <mergeCell ref="N281:S281"/>
    <mergeCell ref="T281:Y281"/>
    <mergeCell ref="Z281:AE281"/>
    <mergeCell ref="AF281:AJ281"/>
    <mergeCell ref="AK281:AO281"/>
    <mergeCell ref="AP281:AT281"/>
    <mergeCell ref="AU281:AY281"/>
    <mergeCell ref="AZ281:BD281"/>
    <mergeCell ref="C280:J280"/>
    <mergeCell ref="K280:M280"/>
    <mergeCell ref="N280:S280"/>
    <mergeCell ref="T280:Y280"/>
    <mergeCell ref="Z280:AE280"/>
    <mergeCell ref="AF280:AJ280"/>
    <mergeCell ref="AK280:AO280"/>
    <mergeCell ref="AP280:AT280"/>
    <mergeCell ref="AU280:AY280"/>
    <mergeCell ref="AZ260:BD260"/>
    <mergeCell ref="C260:J260"/>
    <mergeCell ref="K260:M260"/>
    <mergeCell ref="N260:S260"/>
    <mergeCell ref="T260:Y260"/>
    <mergeCell ref="Z260:AE260"/>
    <mergeCell ref="AF260:AJ260"/>
    <mergeCell ref="AK260:AO260"/>
    <mergeCell ref="AP260:AT260"/>
    <mergeCell ref="AU260:AY260"/>
    <mergeCell ref="B261:AJ261"/>
    <mergeCell ref="AK261:AO261"/>
    <mergeCell ref="AP261:AT261"/>
    <mergeCell ref="AU261:AY261"/>
    <mergeCell ref="AZ261:BD261"/>
    <mergeCell ref="B262:BD262"/>
    <mergeCell ref="B272:BD272"/>
    <mergeCell ref="AZ256:BD256"/>
    <mergeCell ref="K257:M257"/>
    <mergeCell ref="N257:S257"/>
    <mergeCell ref="T257:Y257"/>
    <mergeCell ref="Z257:AE257"/>
    <mergeCell ref="AF257:AJ257"/>
    <mergeCell ref="AK257:AO257"/>
    <mergeCell ref="AP257:AT257"/>
    <mergeCell ref="AU257:AY257"/>
    <mergeCell ref="AZ257:BD257"/>
    <mergeCell ref="C256:J256"/>
    <mergeCell ref="K256:M256"/>
    <mergeCell ref="N256:S256"/>
    <mergeCell ref="T256:Y256"/>
    <mergeCell ref="Z256:AE256"/>
    <mergeCell ref="AF256:AJ256"/>
    <mergeCell ref="AK256:AO256"/>
    <mergeCell ref="AP256:AT256"/>
    <mergeCell ref="AU256:AY256"/>
    <mergeCell ref="C253:J253"/>
    <mergeCell ref="K253:M253"/>
    <mergeCell ref="N253:S253"/>
    <mergeCell ref="T253:Y253"/>
    <mergeCell ref="Z253:AE253"/>
    <mergeCell ref="AF253:AJ253"/>
    <mergeCell ref="AK253:AO253"/>
    <mergeCell ref="AP253:AT253"/>
    <mergeCell ref="AU253:AY253"/>
    <mergeCell ref="AZ253:BD253"/>
    <mergeCell ref="AZ254:BD254"/>
    <mergeCell ref="C255:J255"/>
    <mergeCell ref="K255:M255"/>
    <mergeCell ref="N255:S255"/>
    <mergeCell ref="T255:Y255"/>
    <mergeCell ref="Z255:AE255"/>
    <mergeCell ref="AF255:AJ255"/>
    <mergeCell ref="AK255:AO255"/>
    <mergeCell ref="AP255:AT255"/>
    <mergeCell ref="AU255:AY255"/>
    <mergeCell ref="AZ255:BD255"/>
    <mergeCell ref="C254:J254"/>
    <mergeCell ref="K254:M254"/>
    <mergeCell ref="N254:S254"/>
    <mergeCell ref="T254:Y254"/>
    <mergeCell ref="Z254:AE254"/>
    <mergeCell ref="AF254:AJ254"/>
    <mergeCell ref="AK254:AO254"/>
    <mergeCell ref="AP254:AT254"/>
    <mergeCell ref="AU254:AY254"/>
    <mergeCell ref="B245:BD245"/>
    <mergeCell ref="B248:I248"/>
    <mergeCell ref="K248:S248"/>
    <mergeCell ref="AA248:AG248"/>
    <mergeCell ref="AI248:AR248"/>
    <mergeCell ref="B249:I249"/>
    <mergeCell ref="K249:S249"/>
    <mergeCell ref="AA249:AG249"/>
    <mergeCell ref="AI249:AR249"/>
    <mergeCell ref="B250:I250"/>
    <mergeCell ref="K250:U250"/>
    <mergeCell ref="C252:J252"/>
    <mergeCell ref="K252:M252"/>
    <mergeCell ref="N252:S252"/>
    <mergeCell ref="T252:Y252"/>
    <mergeCell ref="Z252:AE252"/>
    <mergeCell ref="AF252:AJ252"/>
    <mergeCell ref="AK252:AO252"/>
    <mergeCell ref="AP252:AT252"/>
    <mergeCell ref="AU252:AY252"/>
    <mergeCell ref="AZ252:BD252"/>
    <mergeCell ref="AZ208:BD208"/>
    <mergeCell ref="B209:AJ209"/>
    <mergeCell ref="AK209:AO209"/>
    <mergeCell ref="AP209:AT209"/>
    <mergeCell ref="AU209:AY209"/>
    <mergeCell ref="AZ209:BD209"/>
    <mergeCell ref="B210:BD210"/>
    <mergeCell ref="C208:J208"/>
    <mergeCell ref="K208:M208"/>
    <mergeCell ref="N208:S208"/>
    <mergeCell ref="T208:Y208"/>
    <mergeCell ref="Z208:AE208"/>
    <mergeCell ref="AF208:AJ208"/>
    <mergeCell ref="AK208:AO208"/>
    <mergeCell ref="AP208:AT208"/>
    <mergeCell ref="AU208:AY208"/>
    <mergeCell ref="B244:BD244"/>
    <mergeCell ref="B218:BD218"/>
    <mergeCell ref="B219:BD219"/>
    <mergeCell ref="B222:I222"/>
    <mergeCell ref="K222:S222"/>
    <mergeCell ref="AA222:AG222"/>
    <mergeCell ref="AI222:AR222"/>
    <mergeCell ref="B223:I223"/>
    <mergeCell ref="K223:S223"/>
    <mergeCell ref="AA223:AG223"/>
    <mergeCell ref="AI223:AR223"/>
    <mergeCell ref="C227:J227"/>
    <mergeCell ref="K227:M227"/>
    <mergeCell ref="N227:S227"/>
    <mergeCell ref="T227:Y227"/>
    <mergeCell ref="Z227:AE227"/>
    <mergeCell ref="AZ206:BD206"/>
    <mergeCell ref="C207:J207"/>
    <mergeCell ref="K207:M207"/>
    <mergeCell ref="N207:S207"/>
    <mergeCell ref="T207:Y207"/>
    <mergeCell ref="Z207:AE207"/>
    <mergeCell ref="AF207:AJ207"/>
    <mergeCell ref="AK207:AO207"/>
    <mergeCell ref="AP207:AT207"/>
    <mergeCell ref="AU207:AY207"/>
    <mergeCell ref="AZ207:BD207"/>
    <mergeCell ref="C206:J206"/>
    <mergeCell ref="K206:M206"/>
    <mergeCell ref="N206:S206"/>
    <mergeCell ref="T206:Y206"/>
    <mergeCell ref="Z206:AE206"/>
    <mergeCell ref="AF206:AJ206"/>
    <mergeCell ref="AK206:AO206"/>
    <mergeCell ref="AP206:AT206"/>
    <mergeCell ref="AU206:AY206"/>
    <mergeCell ref="AZ204:BD204"/>
    <mergeCell ref="C205:J205"/>
    <mergeCell ref="K205:M205"/>
    <mergeCell ref="N205:S205"/>
    <mergeCell ref="T205:Y205"/>
    <mergeCell ref="Z205:AE205"/>
    <mergeCell ref="AF205:AJ205"/>
    <mergeCell ref="AK205:AO205"/>
    <mergeCell ref="AP205:AT205"/>
    <mergeCell ref="AU205:AY205"/>
    <mergeCell ref="AZ205:BD205"/>
    <mergeCell ref="C204:J204"/>
    <mergeCell ref="K204:M204"/>
    <mergeCell ref="N204:S204"/>
    <mergeCell ref="T204:Y204"/>
    <mergeCell ref="Z204:AE204"/>
    <mergeCell ref="AF204:AJ204"/>
    <mergeCell ref="AK204:AO204"/>
    <mergeCell ref="AP204:AT204"/>
    <mergeCell ref="AU204:AY204"/>
    <mergeCell ref="C201:J201"/>
    <mergeCell ref="K201:M201"/>
    <mergeCell ref="N201:S201"/>
    <mergeCell ref="T201:Y201"/>
    <mergeCell ref="Z201:AE201"/>
    <mergeCell ref="AF201:AJ201"/>
    <mergeCell ref="AK201:AO201"/>
    <mergeCell ref="AP201:AT201"/>
    <mergeCell ref="AU201:AY201"/>
    <mergeCell ref="AZ201:BD201"/>
    <mergeCell ref="AZ202:BD202"/>
    <mergeCell ref="C203:J203"/>
    <mergeCell ref="K203:M203"/>
    <mergeCell ref="N203:S203"/>
    <mergeCell ref="T203:Y203"/>
    <mergeCell ref="Z203:AE203"/>
    <mergeCell ref="AF203:AJ203"/>
    <mergeCell ref="AK203:AO203"/>
    <mergeCell ref="AP203:AT203"/>
    <mergeCell ref="AU203:AY203"/>
    <mergeCell ref="AZ203:BD203"/>
    <mergeCell ref="C202:J202"/>
    <mergeCell ref="K202:M202"/>
    <mergeCell ref="N202:S202"/>
    <mergeCell ref="T202:Y202"/>
    <mergeCell ref="Z202:AE202"/>
    <mergeCell ref="AF202:AJ202"/>
    <mergeCell ref="AK202:AO202"/>
    <mergeCell ref="AP202:AT202"/>
    <mergeCell ref="AU202:AY202"/>
    <mergeCell ref="B192:BD192"/>
    <mergeCell ref="B193:BD193"/>
    <mergeCell ref="B196:I196"/>
    <mergeCell ref="K196:S196"/>
    <mergeCell ref="AA196:AG196"/>
    <mergeCell ref="AI196:AR196"/>
    <mergeCell ref="B197:I197"/>
    <mergeCell ref="K197:S197"/>
    <mergeCell ref="AA197:AG197"/>
    <mergeCell ref="AI197:AR197"/>
    <mergeCell ref="B198:I198"/>
    <mergeCell ref="K198:U198"/>
    <mergeCell ref="C200:J200"/>
    <mergeCell ref="K200:M200"/>
    <mergeCell ref="N200:S200"/>
    <mergeCell ref="T200:Y200"/>
    <mergeCell ref="Z200:AE200"/>
    <mergeCell ref="AF200:AJ200"/>
    <mergeCell ref="AK200:AO200"/>
    <mergeCell ref="AP200:AT200"/>
    <mergeCell ref="AU200:AY200"/>
    <mergeCell ref="AZ200:BD200"/>
    <mergeCell ref="AZ116:BD116"/>
    <mergeCell ref="AK117:AO117"/>
    <mergeCell ref="AP117:AT117"/>
    <mergeCell ref="AU117:AY117"/>
    <mergeCell ref="AZ117:BD117"/>
    <mergeCell ref="C116:J116"/>
    <mergeCell ref="K116:M116"/>
    <mergeCell ref="N116:S116"/>
    <mergeCell ref="T116:Y116"/>
    <mergeCell ref="Z116:AE116"/>
    <mergeCell ref="AF116:AJ116"/>
    <mergeCell ref="AK116:AO116"/>
    <mergeCell ref="AP116:AT116"/>
    <mergeCell ref="AU116:AY116"/>
    <mergeCell ref="AZ143:BD143"/>
    <mergeCell ref="C143:J143"/>
    <mergeCell ref="K143:M143"/>
    <mergeCell ref="N143:S143"/>
    <mergeCell ref="T143:Y143"/>
    <mergeCell ref="Z143:AE143"/>
    <mergeCell ref="AF143:AJ143"/>
    <mergeCell ref="AK143:AO143"/>
    <mergeCell ref="AP143:AT143"/>
    <mergeCell ref="AU143:AY143"/>
    <mergeCell ref="B129:BD129"/>
    <mergeCell ref="B130:BD130"/>
    <mergeCell ref="B133:I133"/>
    <mergeCell ref="K133:S133"/>
    <mergeCell ref="AA133:AG133"/>
    <mergeCell ref="AI133:AR133"/>
    <mergeCell ref="B134:I134"/>
    <mergeCell ref="K134:S134"/>
    <mergeCell ref="AZ114:BD114"/>
    <mergeCell ref="C115:J115"/>
    <mergeCell ref="K115:M115"/>
    <mergeCell ref="N115:S115"/>
    <mergeCell ref="T115:Y115"/>
    <mergeCell ref="Z115:AE115"/>
    <mergeCell ref="AF115:AJ115"/>
    <mergeCell ref="AK115:AO115"/>
    <mergeCell ref="AP115:AT115"/>
    <mergeCell ref="AU115:AY115"/>
    <mergeCell ref="AZ115:BD115"/>
    <mergeCell ref="C114:J114"/>
    <mergeCell ref="K114:M114"/>
    <mergeCell ref="N114:S114"/>
    <mergeCell ref="T114:Y114"/>
    <mergeCell ref="Z114:AE114"/>
    <mergeCell ref="AF114:AJ114"/>
    <mergeCell ref="AK114:AO114"/>
    <mergeCell ref="AP114:AT114"/>
    <mergeCell ref="AU114:AY114"/>
    <mergeCell ref="C113:J113"/>
    <mergeCell ref="K113:M113"/>
    <mergeCell ref="N113:S113"/>
    <mergeCell ref="T113:Y113"/>
    <mergeCell ref="Z113:AE113"/>
    <mergeCell ref="AF113:AJ113"/>
    <mergeCell ref="AK113:AO113"/>
    <mergeCell ref="AP113:AT113"/>
    <mergeCell ref="AU113:AY113"/>
    <mergeCell ref="AZ113:BD113"/>
    <mergeCell ref="C112:J112"/>
    <mergeCell ref="K112:M112"/>
    <mergeCell ref="N112:S112"/>
    <mergeCell ref="T112:Y112"/>
    <mergeCell ref="Z112:AE112"/>
    <mergeCell ref="AF112:AJ112"/>
    <mergeCell ref="AK112:AO112"/>
    <mergeCell ref="AP112:AT112"/>
    <mergeCell ref="AU112:AY112"/>
    <mergeCell ref="Z110:AE110"/>
    <mergeCell ref="AF110:AJ110"/>
    <mergeCell ref="AK110:AO110"/>
    <mergeCell ref="AP110:AT110"/>
    <mergeCell ref="AU110:AY110"/>
    <mergeCell ref="AZ110:BD110"/>
    <mergeCell ref="C111:J111"/>
    <mergeCell ref="K111:M111"/>
    <mergeCell ref="N111:S111"/>
    <mergeCell ref="T111:Y111"/>
    <mergeCell ref="Z111:AE111"/>
    <mergeCell ref="AF111:AJ111"/>
    <mergeCell ref="AK111:AO111"/>
    <mergeCell ref="AP111:AT111"/>
    <mergeCell ref="AU111:AY111"/>
    <mergeCell ref="AZ111:BD111"/>
    <mergeCell ref="AZ112:BD112"/>
    <mergeCell ref="B17:AJ17"/>
    <mergeCell ref="AK17:AO17"/>
    <mergeCell ref="AP17:AT17"/>
    <mergeCell ref="AU17:AY17"/>
    <mergeCell ref="AZ17:BD17"/>
    <mergeCell ref="B18:BD18"/>
    <mergeCell ref="B98:BD98"/>
    <mergeCell ref="B106:I106"/>
    <mergeCell ref="K106:S106"/>
    <mergeCell ref="AA106:AG106"/>
    <mergeCell ref="AI106:AR106"/>
    <mergeCell ref="AU79:AY79"/>
    <mergeCell ref="AZ79:BD79"/>
    <mergeCell ref="C80:J80"/>
    <mergeCell ref="K80:M80"/>
    <mergeCell ref="N80:S80"/>
    <mergeCell ref="T80:Y80"/>
    <mergeCell ref="Z80:AE80"/>
    <mergeCell ref="AF80:AJ80"/>
    <mergeCell ref="AK80:AO80"/>
    <mergeCell ref="AP80:AT80"/>
    <mergeCell ref="AU80:AY80"/>
    <mergeCell ref="AZ80:BD80"/>
    <mergeCell ref="AU81:AY81"/>
    <mergeCell ref="B75:I75"/>
    <mergeCell ref="K75:S75"/>
    <mergeCell ref="AA75:AG75"/>
    <mergeCell ref="AI75:AR75"/>
    <mergeCell ref="B76:I76"/>
    <mergeCell ref="K76:S76"/>
    <mergeCell ref="AA76:AG76"/>
    <mergeCell ref="AI76:AR76"/>
    <mergeCell ref="AZ15:BD15"/>
    <mergeCell ref="C16:J16"/>
    <mergeCell ref="K16:M16"/>
    <mergeCell ref="N16:S16"/>
    <mergeCell ref="T16:Y16"/>
    <mergeCell ref="Z16:AE16"/>
    <mergeCell ref="AF16:AJ16"/>
    <mergeCell ref="AK16:AO16"/>
    <mergeCell ref="AP16:AT16"/>
    <mergeCell ref="AU16:AY16"/>
    <mergeCell ref="AZ16:BD16"/>
    <mergeCell ref="C15:J15"/>
    <mergeCell ref="K15:M15"/>
    <mergeCell ref="N15:S15"/>
    <mergeCell ref="T15:Y15"/>
    <mergeCell ref="Z15:AE15"/>
    <mergeCell ref="AF15:AJ15"/>
    <mergeCell ref="AK15:AO15"/>
    <mergeCell ref="AP15:AT15"/>
    <mergeCell ref="AU15:AY15"/>
    <mergeCell ref="AZ13:BD13"/>
    <mergeCell ref="C14:J14"/>
    <mergeCell ref="K14:M14"/>
    <mergeCell ref="N14:S14"/>
    <mergeCell ref="T14:Y14"/>
    <mergeCell ref="Z14:AE14"/>
    <mergeCell ref="AF14:AJ14"/>
    <mergeCell ref="AK14:AO14"/>
    <mergeCell ref="AP14:AT14"/>
    <mergeCell ref="AU14:AY14"/>
    <mergeCell ref="AZ14:BD14"/>
    <mergeCell ref="C13:J13"/>
    <mergeCell ref="K13:M13"/>
    <mergeCell ref="N13:S13"/>
    <mergeCell ref="T13:Y13"/>
    <mergeCell ref="Z13:AE13"/>
    <mergeCell ref="AF13:AJ13"/>
    <mergeCell ref="AK13:AO13"/>
    <mergeCell ref="AP13:AT13"/>
    <mergeCell ref="AU13:AY13"/>
    <mergeCell ref="AK10:AO10"/>
    <mergeCell ref="AP10:AT10"/>
    <mergeCell ref="AU10:AY10"/>
    <mergeCell ref="AZ10:BD10"/>
    <mergeCell ref="AZ11:BD11"/>
    <mergeCell ref="C12:J12"/>
    <mergeCell ref="K12:M12"/>
    <mergeCell ref="N12:S12"/>
    <mergeCell ref="T12:Y12"/>
    <mergeCell ref="Z12:AE12"/>
    <mergeCell ref="AF12:AJ12"/>
    <mergeCell ref="AK12:AO12"/>
    <mergeCell ref="AP12:AT12"/>
    <mergeCell ref="AU12:AY12"/>
    <mergeCell ref="AZ12:BD12"/>
    <mergeCell ref="C11:J11"/>
    <mergeCell ref="K11:M11"/>
    <mergeCell ref="N11:S11"/>
    <mergeCell ref="T11:Y11"/>
    <mergeCell ref="Z11:AE11"/>
    <mergeCell ref="AF11:AJ11"/>
    <mergeCell ref="AK11:AO11"/>
    <mergeCell ref="AP11:AT11"/>
    <mergeCell ref="AU11:AY11"/>
    <mergeCell ref="AA134:AG134"/>
    <mergeCell ref="AI134:AR134"/>
    <mergeCell ref="B1:BD1"/>
    <mergeCell ref="B2:BD2"/>
    <mergeCell ref="B5:I5"/>
    <mergeCell ref="K5:S5"/>
    <mergeCell ref="AA5:AG5"/>
    <mergeCell ref="AI5:AR5"/>
    <mergeCell ref="B6:I6"/>
    <mergeCell ref="K6:S6"/>
    <mergeCell ref="AA6:AG6"/>
    <mergeCell ref="AI6:AR6"/>
    <mergeCell ref="B7:I7"/>
    <mergeCell ref="K7:U7"/>
    <mergeCell ref="C9:J9"/>
    <mergeCell ref="K9:M9"/>
    <mergeCell ref="N9:S9"/>
    <mergeCell ref="T9:Y9"/>
    <mergeCell ref="Z9:AE9"/>
    <mergeCell ref="AF9:AJ9"/>
    <mergeCell ref="AK9:AO9"/>
    <mergeCell ref="AP9:AT9"/>
    <mergeCell ref="AU9:AY9"/>
    <mergeCell ref="AZ9:BD9"/>
    <mergeCell ref="C10:J10"/>
    <mergeCell ref="K10:M10"/>
    <mergeCell ref="N10:S10"/>
    <mergeCell ref="T10:Y10"/>
    <mergeCell ref="Z10:AE10"/>
    <mergeCell ref="AF10:AJ10"/>
    <mergeCell ref="B38:BD38"/>
    <mergeCell ref="B39:BD39"/>
    <mergeCell ref="AP137:AT137"/>
    <mergeCell ref="AU137:AY137"/>
    <mergeCell ref="AZ137:BD137"/>
    <mergeCell ref="C138:J138"/>
    <mergeCell ref="K138:M138"/>
    <mergeCell ref="N138:S138"/>
    <mergeCell ref="T138:Y138"/>
    <mergeCell ref="AF138:AJ138"/>
    <mergeCell ref="AK138:AO138"/>
    <mergeCell ref="AP138:AT138"/>
    <mergeCell ref="AU138:AY138"/>
    <mergeCell ref="AZ138:BD138"/>
    <mergeCell ref="Z138:AE138"/>
    <mergeCell ref="B135:I135"/>
    <mergeCell ref="K135:U135"/>
    <mergeCell ref="C137:J137"/>
    <mergeCell ref="K137:M137"/>
    <mergeCell ref="N137:S137"/>
    <mergeCell ref="T137:Y137"/>
    <mergeCell ref="Z137:AE137"/>
    <mergeCell ref="AF137:AJ137"/>
    <mergeCell ref="AK137:AO137"/>
    <mergeCell ref="AZ139:BD139"/>
    <mergeCell ref="C140:J140"/>
    <mergeCell ref="K140:M140"/>
    <mergeCell ref="N140:S140"/>
    <mergeCell ref="T140:Y140"/>
    <mergeCell ref="AF140:AJ140"/>
    <mergeCell ref="AK140:AO140"/>
    <mergeCell ref="AP140:AT140"/>
    <mergeCell ref="AU140:AY140"/>
    <mergeCell ref="AZ140:BD140"/>
    <mergeCell ref="C139:J139"/>
    <mergeCell ref="K139:M139"/>
    <mergeCell ref="N139:S139"/>
    <mergeCell ref="T139:Y139"/>
    <mergeCell ref="AF139:AJ139"/>
    <mergeCell ref="AK139:AO139"/>
    <mergeCell ref="AP139:AT139"/>
    <mergeCell ref="AU139:AY139"/>
    <mergeCell ref="Z139:AE139"/>
    <mergeCell ref="Z140:AE140"/>
    <mergeCell ref="AF145:AJ145"/>
    <mergeCell ref="AK145:AO145"/>
    <mergeCell ref="AP145:AT145"/>
    <mergeCell ref="AU145:AY145"/>
    <mergeCell ref="AZ141:BD141"/>
    <mergeCell ref="C142:J142"/>
    <mergeCell ref="K142:M142"/>
    <mergeCell ref="N142:S142"/>
    <mergeCell ref="T142:Y142"/>
    <mergeCell ref="Z142:AE142"/>
    <mergeCell ref="AF142:AJ142"/>
    <mergeCell ref="AK142:AO142"/>
    <mergeCell ref="AP142:AT142"/>
    <mergeCell ref="AU142:AY142"/>
    <mergeCell ref="AZ142:BD142"/>
    <mergeCell ref="C141:J141"/>
    <mergeCell ref="K141:M141"/>
    <mergeCell ref="N141:S141"/>
    <mergeCell ref="T141:Y141"/>
    <mergeCell ref="Z141:AE141"/>
    <mergeCell ref="AF141:AJ141"/>
    <mergeCell ref="AK141:AO141"/>
    <mergeCell ref="AP141:AT141"/>
    <mergeCell ref="AU141:AY141"/>
    <mergeCell ref="AZ144:BD144"/>
    <mergeCell ref="C144:J144"/>
    <mergeCell ref="K144:M144"/>
    <mergeCell ref="N144:S144"/>
    <mergeCell ref="T144:Y144"/>
    <mergeCell ref="Z144:AE144"/>
    <mergeCell ref="AF144:AJ144"/>
    <mergeCell ref="AK144:AO144"/>
    <mergeCell ref="AP144:AT144"/>
    <mergeCell ref="AU144:AY144"/>
    <mergeCell ref="AZ145:BD145"/>
    <mergeCell ref="B146:AJ146"/>
    <mergeCell ref="AK146:AO146"/>
    <mergeCell ref="AP146:AT146"/>
    <mergeCell ref="AU146:AY146"/>
    <mergeCell ref="AZ146:BD146"/>
    <mergeCell ref="B147:BD147"/>
    <mergeCell ref="C145:J145"/>
    <mergeCell ref="K145:M145"/>
    <mergeCell ref="N145:S145"/>
    <mergeCell ref="T145:Y145"/>
    <mergeCell ref="Z145:AE145"/>
    <mergeCell ref="AP226:AT226"/>
    <mergeCell ref="AU226:AY226"/>
    <mergeCell ref="AZ226:BD226"/>
    <mergeCell ref="B164:BD164"/>
    <mergeCell ref="B165:BD165"/>
    <mergeCell ref="B168:I168"/>
    <mergeCell ref="K168:S168"/>
    <mergeCell ref="AA168:AG168"/>
    <mergeCell ref="AI168:AR168"/>
    <mergeCell ref="B169:I169"/>
    <mergeCell ref="K169:S169"/>
    <mergeCell ref="AA169:AG169"/>
    <mergeCell ref="AI169:AR169"/>
    <mergeCell ref="AP175:AT175"/>
    <mergeCell ref="AU175:AY175"/>
    <mergeCell ref="AZ175:BD175"/>
    <mergeCell ref="C174:J174"/>
    <mergeCell ref="K174:M174"/>
    <mergeCell ref="AF227:AJ227"/>
    <mergeCell ref="AK227:AO227"/>
    <mergeCell ref="AP227:AT227"/>
    <mergeCell ref="AU227:AY227"/>
    <mergeCell ref="AZ227:BD227"/>
    <mergeCell ref="B224:I224"/>
    <mergeCell ref="K224:U224"/>
    <mergeCell ref="C226:J226"/>
    <mergeCell ref="K226:M226"/>
    <mergeCell ref="N226:S226"/>
    <mergeCell ref="T226:Y226"/>
    <mergeCell ref="Z226:AE226"/>
    <mergeCell ref="AF226:AJ226"/>
    <mergeCell ref="AK226:AO226"/>
    <mergeCell ref="AZ228:BD228"/>
    <mergeCell ref="C229:J229"/>
    <mergeCell ref="K229:M229"/>
    <mergeCell ref="N229:S229"/>
    <mergeCell ref="T229:Y229"/>
    <mergeCell ref="Z229:AE229"/>
    <mergeCell ref="AF229:AJ229"/>
    <mergeCell ref="AK229:AO229"/>
    <mergeCell ref="AP229:AT229"/>
    <mergeCell ref="AU229:AY229"/>
    <mergeCell ref="AZ229:BD229"/>
    <mergeCell ref="C228:J228"/>
    <mergeCell ref="K228:M228"/>
    <mergeCell ref="N228:S228"/>
    <mergeCell ref="T228:Y228"/>
    <mergeCell ref="Z228:AE228"/>
    <mergeCell ref="AF228:AJ228"/>
    <mergeCell ref="AK228:AO228"/>
    <mergeCell ref="AP228:AT228"/>
    <mergeCell ref="AU228:AY228"/>
    <mergeCell ref="AP232:AT232"/>
    <mergeCell ref="AU232:AY232"/>
    <mergeCell ref="AZ230:BD230"/>
    <mergeCell ref="C231:J231"/>
    <mergeCell ref="K231:M231"/>
    <mergeCell ref="N231:S231"/>
    <mergeCell ref="T231:Y231"/>
    <mergeCell ref="Z231:AE231"/>
    <mergeCell ref="AF231:AJ231"/>
    <mergeCell ref="AK231:AO231"/>
    <mergeCell ref="AP231:AT231"/>
    <mergeCell ref="AU231:AY231"/>
    <mergeCell ref="AZ231:BD231"/>
    <mergeCell ref="C230:J230"/>
    <mergeCell ref="K230:M230"/>
    <mergeCell ref="N230:S230"/>
    <mergeCell ref="T230:Y230"/>
    <mergeCell ref="Z230:AE230"/>
    <mergeCell ref="AF230:AJ230"/>
    <mergeCell ref="AK230:AO230"/>
    <mergeCell ref="AP230:AT230"/>
    <mergeCell ref="AU230:AY230"/>
    <mergeCell ref="AK235:AO235"/>
    <mergeCell ref="AP235:AT235"/>
    <mergeCell ref="AU235:AY235"/>
    <mergeCell ref="AZ235:BD235"/>
    <mergeCell ref="B236:BD236"/>
    <mergeCell ref="C234:J234"/>
    <mergeCell ref="K234:M234"/>
    <mergeCell ref="N234:S234"/>
    <mergeCell ref="T234:Y234"/>
    <mergeCell ref="Z234:AE234"/>
    <mergeCell ref="AF234:AJ234"/>
    <mergeCell ref="AK234:AO234"/>
    <mergeCell ref="AP234:AT234"/>
    <mergeCell ref="AU234:AY234"/>
    <mergeCell ref="AZ232:BD232"/>
    <mergeCell ref="C233:J233"/>
    <mergeCell ref="K233:M233"/>
    <mergeCell ref="N233:S233"/>
    <mergeCell ref="T233:Y233"/>
    <mergeCell ref="Z233:AE233"/>
    <mergeCell ref="AF233:AJ233"/>
    <mergeCell ref="AK233:AO233"/>
    <mergeCell ref="AP233:AT233"/>
    <mergeCell ref="AU233:AY233"/>
    <mergeCell ref="AZ233:BD233"/>
    <mergeCell ref="C232:J232"/>
    <mergeCell ref="K232:M232"/>
    <mergeCell ref="N232:S232"/>
    <mergeCell ref="T232:Y232"/>
    <mergeCell ref="Z232:AE232"/>
    <mergeCell ref="AF232:AJ232"/>
    <mergeCell ref="AK232:AO232"/>
    <mergeCell ref="B335:I335"/>
    <mergeCell ref="K335:AC335"/>
    <mergeCell ref="C337:J337"/>
    <mergeCell ref="K337:M337"/>
    <mergeCell ref="N337:S337"/>
    <mergeCell ref="T337:Y337"/>
    <mergeCell ref="Z337:AE337"/>
    <mergeCell ref="AF337:AJ337"/>
    <mergeCell ref="AK337:AO337"/>
    <mergeCell ref="B329:BD329"/>
    <mergeCell ref="B330:BD330"/>
    <mergeCell ref="B333:I333"/>
    <mergeCell ref="K333:S333"/>
    <mergeCell ref="AA333:AG333"/>
    <mergeCell ref="AI333:AR333"/>
    <mergeCell ref="B334:I334"/>
    <mergeCell ref="K334:S334"/>
    <mergeCell ref="AA334:AG334"/>
    <mergeCell ref="AI334:AR334"/>
    <mergeCell ref="AF339:AJ339"/>
    <mergeCell ref="AK339:AO339"/>
    <mergeCell ref="AP339:AT339"/>
    <mergeCell ref="AU339:AY339"/>
    <mergeCell ref="AP337:AT337"/>
    <mergeCell ref="AU337:AY337"/>
    <mergeCell ref="AZ337:BD337"/>
    <mergeCell ref="C338:J338"/>
    <mergeCell ref="K338:M338"/>
    <mergeCell ref="N338:S338"/>
    <mergeCell ref="T338:Y338"/>
    <mergeCell ref="Z338:AE338"/>
    <mergeCell ref="AF338:AJ338"/>
    <mergeCell ref="AK338:AO338"/>
    <mergeCell ref="AP338:AT338"/>
    <mergeCell ref="AU338:AY338"/>
    <mergeCell ref="AZ338:BD338"/>
    <mergeCell ref="T342:Y342"/>
    <mergeCell ref="Z342:AE342"/>
    <mergeCell ref="AF342:AJ342"/>
    <mergeCell ref="AK342:AO342"/>
    <mergeCell ref="AP342:AT342"/>
    <mergeCell ref="AU342:AY342"/>
    <mergeCell ref="AZ342:BD342"/>
    <mergeCell ref="C341:J341"/>
    <mergeCell ref="K341:M341"/>
    <mergeCell ref="N341:S341"/>
    <mergeCell ref="T341:Y341"/>
    <mergeCell ref="Z341:AE341"/>
    <mergeCell ref="AF341:AJ341"/>
    <mergeCell ref="AK341:AO341"/>
    <mergeCell ref="AP341:AT341"/>
    <mergeCell ref="AU341:AY341"/>
    <mergeCell ref="AZ339:BD339"/>
    <mergeCell ref="C340:J340"/>
    <mergeCell ref="K340:M340"/>
    <mergeCell ref="N340:S340"/>
    <mergeCell ref="T340:Y340"/>
    <mergeCell ref="Z340:AE340"/>
    <mergeCell ref="AF340:AJ340"/>
    <mergeCell ref="AK340:AO340"/>
    <mergeCell ref="AP340:AT340"/>
    <mergeCell ref="AU340:AY340"/>
    <mergeCell ref="AZ340:BD340"/>
    <mergeCell ref="C339:J339"/>
    <mergeCell ref="K339:M339"/>
    <mergeCell ref="N339:S339"/>
    <mergeCell ref="T339:Y339"/>
    <mergeCell ref="Z339:AE339"/>
    <mergeCell ref="B288:AJ288"/>
    <mergeCell ref="B289:BD289"/>
    <mergeCell ref="AZ344:BD344"/>
    <mergeCell ref="B345:AJ345"/>
    <mergeCell ref="AK345:AO345"/>
    <mergeCell ref="AP345:AT345"/>
    <mergeCell ref="AU345:AY345"/>
    <mergeCell ref="AZ345:BD345"/>
    <mergeCell ref="B346:BD346"/>
    <mergeCell ref="C344:J344"/>
    <mergeCell ref="K344:M344"/>
    <mergeCell ref="N344:S344"/>
    <mergeCell ref="T344:Y344"/>
    <mergeCell ref="Z344:AE344"/>
    <mergeCell ref="AF344:AJ344"/>
    <mergeCell ref="AK344:AO344"/>
    <mergeCell ref="AP344:AT344"/>
    <mergeCell ref="AU344:AY344"/>
    <mergeCell ref="AZ343:BD343"/>
    <mergeCell ref="C343:J343"/>
    <mergeCell ref="K343:M343"/>
    <mergeCell ref="N343:S343"/>
    <mergeCell ref="T343:Y343"/>
    <mergeCell ref="Z343:AE343"/>
    <mergeCell ref="AF343:AJ343"/>
    <mergeCell ref="AK343:AO343"/>
    <mergeCell ref="AP343:AT343"/>
    <mergeCell ref="AU343:AY343"/>
    <mergeCell ref="AZ341:BD341"/>
    <mergeCell ref="C342:J342"/>
    <mergeCell ref="K342:M342"/>
    <mergeCell ref="N342:S342"/>
    <mergeCell ref="AZ258:BD258"/>
    <mergeCell ref="C259:J259"/>
    <mergeCell ref="K259:M259"/>
    <mergeCell ref="N259:S259"/>
    <mergeCell ref="T259:Y259"/>
    <mergeCell ref="Z259:AE259"/>
    <mergeCell ref="AF259:AJ259"/>
    <mergeCell ref="AK259:AO259"/>
    <mergeCell ref="AP259:AT259"/>
    <mergeCell ref="AU259:AY259"/>
    <mergeCell ref="AZ259:BD259"/>
    <mergeCell ref="C258:J258"/>
    <mergeCell ref="K258:M258"/>
    <mergeCell ref="N258:S258"/>
    <mergeCell ref="T258:Y258"/>
    <mergeCell ref="Z258:AE258"/>
    <mergeCell ref="AF258:AJ258"/>
    <mergeCell ref="AK258:AO258"/>
    <mergeCell ref="AP258:AT258"/>
    <mergeCell ref="AU258:AY258"/>
    <mergeCell ref="AZ234:BD234"/>
    <mergeCell ref="B235:AJ235"/>
    <mergeCell ref="AP172:AT172"/>
    <mergeCell ref="AU172:AY172"/>
    <mergeCell ref="AZ172:BD172"/>
    <mergeCell ref="C173:J173"/>
    <mergeCell ref="K173:M173"/>
    <mergeCell ref="N173:S173"/>
    <mergeCell ref="T173:Y173"/>
    <mergeCell ref="Z173:AE173"/>
    <mergeCell ref="AF173:AJ173"/>
    <mergeCell ref="AK173:AO173"/>
    <mergeCell ref="AP173:AT173"/>
    <mergeCell ref="AU173:AY173"/>
    <mergeCell ref="AZ173:BD173"/>
    <mergeCell ref="B170:I170"/>
    <mergeCell ref="K170:U170"/>
    <mergeCell ref="C172:J172"/>
    <mergeCell ref="K172:M172"/>
    <mergeCell ref="N172:S172"/>
    <mergeCell ref="T172:Y172"/>
    <mergeCell ref="Z172:AE172"/>
    <mergeCell ref="AF172:AJ172"/>
    <mergeCell ref="AK172:AO172"/>
    <mergeCell ref="AZ174:BD174"/>
    <mergeCell ref="C175:J175"/>
    <mergeCell ref="K175:M175"/>
    <mergeCell ref="N175:S175"/>
    <mergeCell ref="T175:Y175"/>
    <mergeCell ref="Z175:AE175"/>
    <mergeCell ref="AF175:AJ175"/>
    <mergeCell ref="AK175:AO175"/>
    <mergeCell ref="N174:S174"/>
    <mergeCell ref="T174:Y174"/>
    <mergeCell ref="Z174:AE174"/>
    <mergeCell ref="AF174:AJ174"/>
    <mergeCell ref="AK174:AO174"/>
    <mergeCell ref="AP174:AT174"/>
    <mergeCell ref="AU174:AY174"/>
    <mergeCell ref="AF178:AJ178"/>
    <mergeCell ref="AK178:AO178"/>
    <mergeCell ref="AP178:AT178"/>
    <mergeCell ref="AU178:AY178"/>
    <mergeCell ref="AZ176:BD176"/>
    <mergeCell ref="C177:J177"/>
    <mergeCell ref="K177:M177"/>
    <mergeCell ref="N177:S177"/>
    <mergeCell ref="T177:Y177"/>
    <mergeCell ref="Z177:AE177"/>
    <mergeCell ref="AF177:AJ177"/>
    <mergeCell ref="AK177:AO177"/>
    <mergeCell ref="AP177:AT177"/>
    <mergeCell ref="AU177:AY177"/>
    <mergeCell ref="AZ177:BD177"/>
    <mergeCell ref="C176:J176"/>
    <mergeCell ref="K176:M176"/>
    <mergeCell ref="N176:S176"/>
    <mergeCell ref="T176:Y176"/>
    <mergeCell ref="Z176:AE176"/>
    <mergeCell ref="AF176:AJ176"/>
    <mergeCell ref="AK176:AO176"/>
    <mergeCell ref="AP176:AT176"/>
    <mergeCell ref="AU176:AY176"/>
    <mergeCell ref="AZ180:BD180"/>
    <mergeCell ref="B181:AJ181"/>
    <mergeCell ref="AK181:AO181"/>
    <mergeCell ref="AP181:AT181"/>
    <mergeCell ref="AU181:AY181"/>
    <mergeCell ref="AZ181:BD181"/>
    <mergeCell ref="B182:BD182"/>
    <mergeCell ref="C180:J180"/>
    <mergeCell ref="K180:M180"/>
    <mergeCell ref="N180:S180"/>
    <mergeCell ref="T180:Y180"/>
    <mergeCell ref="Z180:AE180"/>
    <mergeCell ref="AF180:AJ180"/>
    <mergeCell ref="AK180:AO180"/>
    <mergeCell ref="AP180:AT180"/>
    <mergeCell ref="AU180:AY180"/>
    <mergeCell ref="AZ178:BD178"/>
    <mergeCell ref="C179:J179"/>
    <mergeCell ref="K179:M179"/>
    <mergeCell ref="N179:S179"/>
    <mergeCell ref="T179:Y179"/>
    <mergeCell ref="Z179:AE179"/>
    <mergeCell ref="AF179:AJ179"/>
    <mergeCell ref="AK179:AO179"/>
    <mergeCell ref="AP179:AT179"/>
    <mergeCell ref="AU179:AY179"/>
    <mergeCell ref="AZ179:BD179"/>
    <mergeCell ref="C178:J178"/>
    <mergeCell ref="K178:M178"/>
    <mergeCell ref="N178:S178"/>
    <mergeCell ref="T178:Y178"/>
    <mergeCell ref="Z178:AE178"/>
    <mergeCell ref="B42:I42"/>
    <mergeCell ref="K42:S42"/>
    <mergeCell ref="AA42:AG42"/>
    <mergeCell ref="AI42:AR42"/>
    <mergeCell ref="B43:I43"/>
    <mergeCell ref="K43:S43"/>
    <mergeCell ref="AA43:AG43"/>
    <mergeCell ref="AI43:AR43"/>
    <mergeCell ref="B44:I44"/>
    <mergeCell ref="K44:U44"/>
    <mergeCell ref="C46:J46"/>
    <mergeCell ref="K46:M46"/>
    <mergeCell ref="N46:S46"/>
    <mergeCell ref="T46:Y46"/>
    <mergeCell ref="Z46:AE46"/>
    <mergeCell ref="AF46:AJ46"/>
    <mergeCell ref="AK46:AO46"/>
    <mergeCell ref="AP46:AT46"/>
    <mergeCell ref="AU46:AY46"/>
    <mergeCell ref="AZ46:BD46"/>
    <mergeCell ref="C47:J47"/>
    <mergeCell ref="K47:M47"/>
    <mergeCell ref="N47:S47"/>
    <mergeCell ref="T47:Y47"/>
    <mergeCell ref="Z47:AE47"/>
    <mergeCell ref="AF47:AJ47"/>
    <mergeCell ref="AK47:AO47"/>
    <mergeCell ref="AP47:AT47"/>
    <mergeCell ref="AU47:AY47"/>
    <mergeCell ref="AZ47:BD47"/>
    <mergeCell ref="C48:J48"/>
    <mergeCell ref="K48:M48"/>
    <mergeCell ref="N48:S48"/>
    <mergeCell ref="T48:Y48"/>
    <mergeCell ref="Z48:AE48"/>
    <mergeCell ref="AF48:AJ48"/>
    <mergeCell ref="AK48:AO48"/>
    <mergeCell ref="AP48:AT48"/>
    <mergeCell ref="AU48:AY48"/>
    <mergeCell ref="AZ48:BD48"/>
    <mergeCell ref="C49:J49"/>
    <mergeCell ref="K49:M49"/>
    <mergeCell ref="N49:S49"/>
    <mergeCell ref="T49:Y49"/>
    <mergeCell ref="Z49:AE49"/>
    <mergeCell ref="AF49:AJ49"/>
    <mergeCell ref="AK49:AO49"/>
    <mergeCell ref="AP49:AT49"/>
    <mergeCell ref="AU49:AY49"/>
    <mergeCell ref="AZ49:BD49"/>
    <mergeCell ref="C50:J50"/>
    <mergeCell ref="K50:M50"/>
    <mergeCell ref="N50:S50"/>
    <mergeCell ref="T50:Y50"/>
    <mergeCell ref="Z50:AE50"/>
    <mergeCell ref="AF50:AJ50"/>
    <mergeCell ref="AK50:AO50"/>
    <mergeCell ref="AP50:AT50"/>
    <mergeCell ref="AU50:AY50"/>
    <mergeCell ref="AZ50:BD50"/>
    <mergeCell ref="C51:J51"/>
    <mergeCell ref="K51:M51"/>
    <mergeCell ref="N51:S51"/>
    <mergeCell ref="T51:Y51"/>
    <mergeCell ref="Z51:AE51"/>
    <mergeCell ref="AF51:AJ51"/>
    <mergeCell ref="AK51:AO51"/>
    <mergeCell ref="AP51:AT51"/>
    <mergeCell ref="AU51:AY51"/>
    <mergeCell ref="AZ51:BD51"/>
    <mergeCell ref="C52:J52"/>
    <mergeCell ref="K52:M52"/>
    <mergeCell ref="N52:S52"/>
    <mergeCell ref="T52:Y52"/>
    <mergeCell ref="Z52:AE52"/>
    <mergeCell ref="AF52:AJ52"/>
    <mergeCell ref="AK52:AO52"/>
    <mergeCell ref="AP52:AT52"/>
    <mergeCell ref="AU52:AY52"/>
    <mergeCell ref="AZ52:BD52"/>
    <mergeCell ref="B55:AJ55"/>
    <mergeCell ref="AK55:AO55"/>
    <mergeCell ref="AP55:AT55"/>
    <mergeCell ref="AU55:AY55"/>
    <mergeCell ref="AZ55:BD55"/>
    <mergeCell ref="B56:BD56"/>
    <mergeCell ref="C53:J53"/>
    <mergeCell ref="K53:M53"/>
    <mergeCell ref="N53:S53"/>
    <mergeCell ref="T53:Y53"/>
    <mergeCell ref="Z53:AE53"/>
    <mergeCell ref="AF53:AJ53"/>
    <mergeCell ref="AK53:AO53"/>
    <mergeCell ref="AP53:AT53"/>
    <mergeCell ref="AU53:AY53"/>
    <mergeCell ref="AZ53:BD53"/>
    <mergeCell ref="C54:J54"/>
    <mergeCell ref="K54:M54"/>
    <mergeCell ref="N54:S54"/>
    <mergeCell ref="T54:Y54"/>
    <mergeCell ref="Z54:AE54"/>
    <mergeCell ref="AF54:AJ54"/>
    <mergeCell ref="AK54:AO54"/>
    <mergeCell ref="AP54:AT54"/>
    <mergeCell ref="AU54:AY54"/>
    <mergeCell ref="AZ54:BD54"/>
    <mergeCell ref="B118:AJ118"/>
    <mergeCell ref="AK118:AO118"/>
    <mergeCell ref="AP118:AT118"/>
    <mergeCell ref="AU118:AY118"/>
    <mergeCell ref="AZ118:BD118"/>
    <mergeCell ref="B119:BD119"/>
    <mergeCell ref="B105:I105"/>
    <mergeCell ref="K105:S105"/>
    <mergeCell ref="AA105:AG105"/>
    <mergeCell ref="AI105:AR105"/>
    <mergeCell ref="K107:U107"/>
    <mergeCell ref="C109:J109"/>
    <mergeCell ref="K109:M109"/>
    <mergeCell ref="N109:S109"/>
    <mergeCell ref="T109:Y109"/>
    <mergeCell ref="Z109:AE109"/>
    <mergeCell ref="AF109:AJ109"/>
    <mergeCell ref="AK109:AO109"/>
    <mergeCell ref="AP109:AT109"/>
    <mergeCell ref="AU109:AY109"/>
    <mergeCell ref="AZ109:BD109"/>
    <mergeCell ref="C117:J117"/>
    <mergeCell ref="K117:M117"/>
    <mergeCell ref="N117:S117"/>
    <mergeCell ref="T117:Y117"/>
    <mergeCell ref="Z117:AE117"/>
    <mergeCell ref="AF117:AJ117"/>
    <mergeCell ref="B107:I107"/>
    <mergeCell ref="C110:J110"/>
    <mergeCell ref="K110:M110"/>
    <mergeCell ref="N110:S110"/>
    <mergeCell ref="T110:Y110"/>
  </mergeCells>
  <pageMargins left="0.27559055118110237" right="0.31496062992125984" top="0.74803149606299213" bottom="0.35433070866141736" header="0.51181102362204722" footer="0.51181102362204722"/>
  <pageSetup paperSize="9" scale="77" firstPageNumber="0" orientation="landscape" horizontalDpi="4294967293" verticalDpi="300" r:id="rId1"/>
  <headerFooter>
    <oddFooter>&amp;LSDM-FR-37/Rev.00/16 Desember 2024</oddFooter>
  </headerFooter>
  <rowBreaks count="10" manualBreakCount="10">
    <brk id="36" max="56" man="1"/>
    <brk id="68" max="56" man="1"/>
    <brk id="97" max="16383" man="1"/>
    <brk id="128" min="2" max="56" man="1"/>
    <brk id="191" min="2" max="56" man="1"/>
    <brk id="217" min="2" max="56" man="1"/>
    <brk id="243" min="2" max="56" man="1"/>
    <brk id="271" min="2" max="56" man="1"/>
    <brk id="299" max="56" man="1"/>
    <brk id="327" max="5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HRD-CPU-009</cp:lastModifiedBy>
  <cp:revision>1</cp:revision>
  <cp:lastPrinted>2026-08-20T05:38:11Z</cp:lastPrinted>
  <dcterms:created xsi:type="dcterms:W3CDTF">2006-09-16T00:00:00Z</dcterms:created>
  <dcterms:modified xsi:type="dcterms:W3CDTF">2026-08-20T05:38:43Z</dcterms:modified>
  <dc:language>id-ID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